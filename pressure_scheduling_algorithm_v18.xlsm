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n6852\Desktop\"/>
    </mc:Choice>
  </mc:AlternateContent>
  <bookViews>
    <workbookView xWindow="0" yWindow="0" windowWidth="25200" windowHeight="11745" activeTab="8"/>
  </bookViews>
  <sheets>
    <sheet name="Oven Test" sheetId="10" r:id="rId1"/>
    <sheet name="Ovens" sheetId="1" r:id="rId2"/>
    <sheet name="Queue" sheetId="2" r:id="rId3"/>
    <sheet name="Original Queue" sheetId="6" r:id="rId4"/>
    <sheet name="Original Queue_test" sheetId="5" r:id="rId5"/>
    <sheet name="Organized Queue" sheetId="4" r:id="rId6"/>
    <sheet name="CS test" sheetId="11" r:id="rId7"/>
    <sheet name="Calculated Schedule" sheetId="3" r:id="rId8"/>
    <sheet name="Schedule" sheetId="9" r:id="rId9"/>
    <sheet name="Holidays" sheetId="13" r:id="rId10"/>
  </sheets>
  <functionGroups builtInGroupCount="18"/>
  <calcPr calcId="171027"/>
</workbook>
</file>

<file path=xl/calcChain.xml><?xml version="1.0" encoding="utf-8"?>
<calcChain xmlns="http://schemas.openxmlformats.org/spreadsheetml/2006/main">
  <c r="L30" i="2" l="1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L2" i="2"/>
  <c r="R54" i="1"/>
  <c r="R53" i="1"/>
  <c r="R52" i="1"/>
  <c r="R51" i="1"/>
  <c r="R50" i="1"/>
  <c r="R49" i="1"/>
  <c r="R43" i="1"/>
  <c r="R41" i="1"/>
  <c r="P4" i="1"/>
  <c r="Q4" i="1" s="1"/>
  <c r="L4" i="1"/>
  <c r="P3" i="1"/>
  <c r="Q3" i="1" s="1"/>
  <c r="L3" i="1"/>
  <c r="L5" i="1" s="1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3" i="6"/>
  <c r="L2" i="6"/>
  <c r="L48" i="6" l="1"/>
  <c r="L44" i="6"/>
  <c r="L40" i="6"/>
  <c r="L36" i="6"/>
  <c r="L35" i="6"/>
  <c r="L34" i="6"/>
  <c r="L33" i="6"/>
  <c r="L32" i="6"/>
  <c r="L31" i="6"/>
  <c r="L30" i="5" l="1"/>
  <c r="U5" i="13" l="1"/>
  <c r="U6" i="13"/>
  <c r="U9" i="13"/>
  <c r="U10" i="13"/>
  <c r="U13" i="13"/>
  <c r="U14" i="13"/>
  <c r="U17" i="13"/>
  <c r="U18" i="13"/>
  <c r="U21" i="13"/>
  <c r="U22" i="13"/>
  <c r="T3" i="13"/>
  <c r="U3" i="13" s="1"/>
  <c r="T4" i="13"/>
  <c r="U4" i="13" s="1"/>
  <c r="T5" i="13"/>
  <c r="T6" i="13"/>
  <c r="T7" i="13"/>
  <c r="U7" i="13" s="1"/>
  <c r="T8" i="13"/>
  <c r="U8" i="13" s="1"/>
  <c r="T9" i="13"/>
  <c r="T10" i="13"/>
  <c r="T11" i="13"/>
  <c r="U11" i="13" s="1"/>
  <c r="T12" i="13"/>
  <c r="U12" i="13" s="1"/>
  <c r="T13" i="13"/>
  <c r="T14" i="13"/>
  <c r="T15" i="13"/>
  <c r="U15" i="13" s="1"/>
  <c r="T16" i="13"/>
  <c r="U16" i="13" s="1"/>
  <c r="T17" i="13"/>
  <c r="T18" i="13"/>
  <c r="T19" i="13"/>
  <c r="U19" i="13" s="1"/>
  <c r="T20" i="13"/>
  <c r="U20" i="13" s="1"/>
  <c r="T21" i="13"/>
  <c r="T22" i="13"/>
  <c r="T23" i="13"/>
  <c r="U23" i="13" s="1"/>
  <c r="T2" i="13"/>
  <c r="U2" i="13" s="1"/>
  <c r="I23" i="13"/>
  <c r="N3" i="13"/>
  <c r="N4" i="13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" i="13"/>
  <c r="M3" i="13"/>
  <c r="O3" i="13" s="1"/>
  <c r="M4" i="13"/>
  <c r="O4" i="13" s="1"/>
  <c r="M5" i="13"/>
  <c r="O5" i="13" s="1"/>
  <c r="M6" i="13"/>
  <c r="O6" i="13" s="1"/>
  <c r="M7" i="13"/>
  <c r="O7" i="13" s="1"/>
  <c r="M8" i="13"/>
  <c r="O8" i="13" s="1"/>
  <c r="M9" i="13"/>
  <c r="O9" i="13" s="1"/>
  <c r="M10" i="13"/>
  <c r="O10" i="13" s="1"/>
  <c r="M11" i="13"/>
  <c r="O11" i="13" s="1"/>
  <c r="M12" i="13"/>
  <c r="O12" i="13" s="1"/>
  <c r="M13" i="13"/>
  <c r="O13" i="13" s="1"/>
  <c r="M14" i="13"/>
  <c r="O14" i="13" s="1"/>
  <c r="M15" i="13"/>
  <c r="O15" i="13" s="1"/>
  <c r="M16" i="13"/>
  <c r="O16" i="13" s="1"/>
  <c r="M17" i="13"/>
  <c r="O17" i="13" s="1"/>
  <c r="M18" i="13"/>
  <c r="O18" i="13" s="1"/>
  <c r="M19" i="13"/>
  <c r="O19" i="13" s="1"/>
  <c r="M20" i="13"/>
  <c r="O20" i="13" s="1"/>
  <c r="M21" i="13"/>
  <c r="O21" i="13" s="1"/>
  <c r="M22" i="13"/>
  <c r="O22" i="13" s="1"/>
  <c r="M23" i="13"/>
  <c r="O23" i="13" s="1"/>
  <c r="M2" i="13"/>
  <c r="O2" i="13" s="1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" i="13"/>
  <c r="I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" i="13"/>
  <c r="L2" i="5" l="1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R54" i="10" l="1"/>
  <c r="R53" i="10"/>
  <c r="R52" i="10"/>
  <c r="R51" i="10"/>
  <c r="R50" i="10"/>
  <c r="R49" i="10"/>
  <c r="R43" i="10"/>
  <c r="R41" i="10"/>
  <c r="P4" i="10"/>
  <c r="Q4" i="10" s="1"/>
  <c r="L4" i="10"/>
  <c r="P3" i="10"/>
  <c r="Q3" i="10" s="1"/>
  <c r="L3" i="10"/>
  <c r="L5" i="10" l="1"/>
</calcChain>
</file>

<file path=xl/sharedStrings.xml><?xml version="1.0" encoding="utf-8"?>
<sst xmlns="http://schemas.openxmlformats.org/spreadsheetml/2006/main" count="1021" uniqueCount="151">
  <si>
    <t>Oven:</t>
  </si>
  <si>
    <t>Temperature (°C):</t>
  </si>
  <si>
    <t>Slot</t>
  </si>
  <si>
    <t>Start</t>
  </si>
  <si>
    <t>End</t>
  </si>
  <si>
    <t>Priority</t>
  </si>
  <si>
    <t>GWRS#</t>
  </si>
  <si>
    <t>Temperature (°C)</t>
  </si>
  <si>
    <t>Duration (Hours)</t>
  </si>
  <si>
    <t>Date Received</t>
  </si>
  <si>
    <t># ISO MPB</t>
  </si>
  <si>
    <t># CHARPY</t>
  </si>
  <si>
    <t># ISO 5A</t>
  </si>
  <si>
    <t>Vessel</t>
  </si>
  <si>
    <t>1L</t>
  </si>
  <si>
    <t>Total</t>
  </si>
  <si>
    <t>2L</t>
  </si>
  <si>
    <t>Vessel Type</t>
  </si>
  <si>
    <t>In Use</t>
  </si>
  <si>
    <t>Remaining</t>
  </si>
  <si>
    <t>Remaining:</t>
  </si>
  <si>
    <t>In Use:</t>
  </si>
  <si>
    <t>Total:</t>
  </si>
  <si>
    <t>Slots</t>
  </si>
  <si>
    <t>Vessel Consolidation?</t>
  </si>
  <si>
    <t>Action</t>
  </si>
  <si>
    <t># ISO 1BA</t>
  </si>
  <si>
    <t>Volume Req. (per ASTM D543) [mL]</t>
  </si>
  <si>
    <t>Requester</t>
  </si>
  <si>
    <t>LWR</t>
  </si>
  <si>
    <t>High</t>
  </si>
  <si>
    <t>Normal</t>
  </si>
  <si>
    <t>Duration Combine</t>
  </si>
  <si>
    <t>Volume Combined [mL]</t>
  </si>
  <si>
    <t>2019-AMS-00079</t>
  </si>
  <si>
    <t>Requestor</t>
  </si>
  <si>
    <t>Fluid</t>
  </si>
  <si>
    <t>Argoe</t>
  </si>
  <si>
    <t>90% Dexcool</t>
  </si>
  <si>
    <t>2019-AMS-00163</t>
  </si>
  <si>
    <t>Coolants</t>
  </si>
  <si>
    <t>2018-AMS-01096</t>
  </si>
  <si>
    <t>Lam</t>
  </si>
  <si>
    <t>Corguard</t>
  </si>
  <si>
    <t>Harvey</t>
  </si>
  <si>
    <t>2019-AMS-00184</t>
  </si>
  <si>
    <t>2019-AMS-00407</t>
  </si>
  <si>
    <t>Dexcool</t>
  </si>
  <si>
    <t>2018-AMS-01000</t>
  </si>
  <si>
    <t>Oriani</t>
  </si>
  <si>
    <t>Acetic Acid</t>
  </si>
  <si>
    <t>2019-AMS-00065</t>
  </si>
  <si>
    <t>Ogaro</t>
  </si>
  <si>
    <t>Water</t>
  </si>
  <si>
    <t/>
  </si>
  <si>
    <t>04/18/2019 12:00 PM</t>
  </si>
  <si>
    <t>12/19/2018 12:00 PM</t>
  </si>
  <si>
    <t>01/14/2019 12:00 PM</t>
  </si>
  <si>
    <t>04/17/2019 12:00 PM</t>
  </si>
  <si>
    <t>03/26/2019 12:00 PM</t>
  </si>
  <si>
    <t>04/22/2019 12:00 PM</t>
  </si>
  <si>
    <t>03/29/2019 12:00 PM</t>
  </si>
  <si>
    <t>03/25/2019 12:00 PM</t>
  </si>
  <si>
    <t>05/09/2019 12:00 PM</t>
  </si>
  <si>
    <t>05/31/2019 12:00 PM</t>
  </si>
  <si>
    <t>04/23/2019 12:00 PM</t>
  </si>
  <si>
    <t>05/20/2019 12:00 PM</t>
  </si>
  <si>
    <t>05/29/2019 12:00 PM</t>
  </si>
  <si>
    <t>07/29/2019 12:00 PM</t>
  </si>
  <si>
    <t>05/06/2019 12:00 PM</t>
  </si>
  <si>
    <t>05/28/2019 12:00 PM</t>
  </si>
  <si>
    <t>Oven Code</t>
  </si>
  <si>
    <t>O26S1</t>
  </si>
  <si>
    <t>O26S2</t>
  </si>
  <si>
    <t>O26S3</t>
  </si>
  <si>
    <t>O26S4</t>
  </si>
  <si>
    <t>O27S2</t>
  </si>
  <si>
    <t>O27S3</t>
  </si>
  <si>
    <t>O27S1</t>
  </si>
  <si>
    <t>O27S4</t>
  </si>
  <si>
    <t>O56S1</t>
  </si>
  <si>
    <t>O56S2</t>
  </si>
  <si>
    <t>O56S3</t>
  </si>
  <si>
    <t>O56S4</t>
  </si>
  <si>
    <t>O57S1</t>
  </si>
  <si>
    <t>O57S2</t>
  </si>
  <si>
    <t>O57S3</t>
  </si>
  <si>
    <t>O57S4</t>
  </si>
  <si>
    <t>TESTFLUID</t>
  </si>
  <si>
    <t>2019-AMS-00TEST-1</t>
  </si>
  <si>
    <t>2019-AMS-00TEST-2</t>
  </si>
  <si>
    <t>2019-AMS-00TEST-3</t>
  </si>
  <si>
    <t>2019-AMS-00TEST-4</t>
  </si>
  <si>
    <t>2019-AMS-00TEST-5</t>
  </si>
  <si>
    <t>2019-AMS-00TEST-6</t>
  </si>
  <si>
    <t>2019-AMS-00TEST-7</t>
  </si>
  <si>
    <t>2019-AMS-00TEST-8</t>
  </si>
  <si>
    <t>2019-AMS-00TEST-9</t>
  </si>
  <si>
    <t>2019-AMS-00TEST-10</t>
  </si>
  <si>
    <t>2019-AMS-00TEST-11</t>
  </si>
  <si>
    <t>2019-AMS-00TEST-12</t>
  </si>
  <si>
    <t>2019-AMS-00TEST-13</t>
  </si>
  <si>
    <t>2019-AMS-00TEST-14</t>
  </si>
  <si>
    <t>2019-AMS-00TEST-15</t>
  </si>
  <si>
    <t>2019-AMS-00TEST-16</t>
  </si>
  <si>
    <t>2019-AMS-00TEST-17</t>
  </si>
  <si>
    <t>2019-AMS-00TEST-18</t>
  </si>
  <si>
    <t>2019-AMS-00TEST-19</t>
  </si>
  <si>
    <t>2019-AMS-00TEST-20</t>
  </si>
  <si>
    <t>2019-AMS-00TEST-21</t>
  </si>
  <si>
    <t>2019-AMS-00TEST-22</t>
  </si>
  <si>
    <t>2019-AMS-00TEST-23</t>
  </si>
  <si>
    <t>2019-AMS-00TEST-24</t>
  </si>
  <si>
    <t>2019-AMS-00TEST-25</t>
  </si>
  <si>
    <t>2019-AMS-00TEST-26</t>
  </si>
  <si>
    <t>2019-AMS-00TEST-27</t>
  </si>
  <si>
    <t>2019-AMS-00TEST-28</t>
  </si>
  <si>
    <t>REQUESTOR</t>
  </si>
  <si>
    <t>Date of Action</t>
  </si>
  <si>
    <t>New Year's Day</t>
  </si>
  <si>
    <t>Presidents Day</t>
  </si>
  <si>
    <t>Memorial Day</t>
  </si>
  <si>
    <t>4th of July</t>
  </si>
  <si>
    <t>4th of July Extra</t>
  </si>
  <si>
    <t>Labor Day</t>
  </si>
  <si>
    <t>Thanksgiving</t>
  </si>
  <si>
    <t>Christmas Eve</t>
  </si>
  <si>
    <t>Christmas Day</t>
  </si>
  <si>
    <t>Thanksgiving Friday</t>
  </si>
  <si>
    <t>SATURDAY??</t>
  </si>
  <si>
    <t>SUNDAY??</t>
  </si>
  <si>
    <t>N/A</t>
  </si>
  <si>
    <t>1/1/2019</t>
  </si>
  <si>
    <t>1/1/2020</t>
  </si>
  <si>
    <t>1/1/2021</t>
  </si>
  <si>
    <t>1/1/2024</t>
  </si>
  <si>
    <t>1/1/2025</t>
  </si>
  <si>
    <t>1/1/2026</t>
  </si>
  <si>
    <t>1/1/2027</t>
  </si>
  <si>
    <t>1/1/2029</t>
  </si>
  <si>
    <t>1/1/2030</t>
  </si>
  <si>
    <t>1/1/2031</t>
  </si>
  <si>
    <t>1/1/2032</t>
  </si>
  <si>
    <t>1/1/2035</t>
  </si>
  <si>
    <t>1/1/2036</t>
  </si>
  <si>
    <t>1/1/2037</t>
  </si>
  <si>
    <t>1/1/2038</t>
  </si>
  <si>
    <t>Year</t>
  </si>
  <si>
    <t>HOLIDAY TEST</t>
  </si>
  <si>
    <t>TEST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</si>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</sst>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m/d/yy\ h:mm\ AM/PM;@"/>
    <numFmt numFmtId="165" formatCode="mm/dd/yyyy\ h:mm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0" borderId="0" xfId="0" applyNumberFormat="1"/>
    <xf numFmtId="16" fontId="0" fillId="0" borderId="0" xfId="0" applyNumberFormat="1" applyAlignment="1">
      <alignment horizontal="center" vertical="center"/>
    </xf>
  </cellXfs>
  <cellStyles count="1"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54"/>
  <sheetViews>
    <sheetView workbookViewId="0">
      <selection sqref="A1:XFD1048576"/>
    </sheetView>
  </sheetViews>
  <sheetFormatPr defaultRowHeight="15" x14ac:dyDescent="0.25"/>
  <cols>
    <col min="1" max="1" width="17" style="2" bestFit="1" customWidth="1"/>
    <col min="2" max="2" width="18.42578125" style="2" bestFit="1" customWidth="1"/>
    <col min="3" max="4" width="16.42578125" style="2" customWidth="1"/>
    <col min="5" max="7" width="19.28515625" style="2" bestFit="1" customWidth="1"/>
    <col min="8" max="8" width="9.140625" style="2"/>
    <col min="9" max="9" width="16.140625" style="2" customWidth="1"/>
    <col min="10" max="10" width="9.140625" style="2"/>
    <col min="11" max="11" width="11" style="2" bestFit="1" customWidth="1"/>
    <col min="12" max="12" width="13.85546875" style="2" bestFit="1" customWidth="1"/>
    <col min="13" max="13" width="9.140625" style="2"/>
    <col min="14" max="14" width="15.28515625" style="2" bestFit="1" customWidth="1"/>
    <col min="15" max="15" width="9.140625" style="2"/>
    <col min="16" max="16" width="6.42578125" style="2" bestFit="1" customWidth="1"/>
    <col min="17" max="17" width="10.42578125" style="2" bestFit="1" customWidth="1"/>
    <col min="18" max="18" width="28.42578125" style="2" customWidth="1"/>
    <col min="19" max="16384" width="9.140625" style="2"/>
  </cols>
  <sheetData>
    <row r="1" spans="1:17" x14ac:dyDescent="0.25">
      <c r="A1" s="2" t="s">
        <v>0</v>
      </c>
      <c r="B1" s="2">
        <v>26</v>
      </c>
    </row>
    <row r="2" spans="1:17" x14ac:dyDescent="0.25">
      <c r="A2" s="2" t="s">
        <v>1</v>
      </c>
      <c r="B2" s="2">
        <v>120</v>
      </c>
      <c r="K2" s="2" t="s">
        <v>23</v>
      </c>
      <c r="N2" s="2" t="s">
        <v>17</v>
      </c>
      <c r="O2" s="2" t="s">
        <v>15</v>
      </c>
      <c r="P2" s="2" t="s">
        <v>18</v>
      </c>
      <c r="Q2" s="2" t="s">
        <v>19</v>
      </c>
    </row>
    <row r="3" spans="1:17" x14ac:dyDescent="0.25">
      <c r="A3" s="2" t="s">
        <v>2</v>
      </c>
      <c r="B3" s="2" t="s">
        <v>6</v>
      </c>
      <c r="C3" s="2" t="s">
        <v>35</v>
      </c>
      <c r="D3" s="2" t="s">
        <v>36</v>
      </c>
      <c r="E3" s="2" t="s">
        <v>8</v>
      </c>
      <c r="F3" s="2" t="s">
        <v>3</v>
      </c>
      <c r="G3" s="2" t="s">
        <v>4</v>
      </c>
      <c r="H3" s="2" t="s">
        <v>13</v>
      </c>
      <c r="I3" s="2" t="s">
        <v>71</v>
      </c>
      <c r="K3" s="2" t="s">
        <v>22</v>
      </c>
      <c r="L3" s="2">
        <f>16</f>
        <v>16</v>
      </c>
      <c r="N3" s="2" t="s">
        <v>14</v>
      </c>
      <c r="O3" s="2">
        <v>10</v>
      </c>
      <c r="P3" s="2">
        <f>COUNTIF($H$4:$H$31, "1L")</f>
        <v>1</v>
      </c>
      <c r="Q3" s="2">
        <f>O3-P3</f>
        <v>9</v>
      </c>
    </row>
    <row r="4" spans="1:17" x14ac:dyDescent="0.25">
      <c r="A4" s="2">
        <v>1</v>
      </c>
      <c r="B4" s="2" t="s">
        <v>34</v>
      </c>
      <c r="C4" s="2" t="s">
        <v>37</v>
      </c>
      <c r="D4" s="2" t="s">
        <v>38</v>
      </c>
      <c r="E4" s="2">
        <v>1000</v>
      </c>
      <c r="F4" s="6">
        <v>43539.5</v>
      </c>
      <c r="G4" s="6">
        <v>43581.5</v>
      </c>
      <c r="H4" s="2" t="s">
        <v>16</v>
      </c>
      <c r="I4" s="3" t="s">
        <v>72</v>
      </c>
      <c r="K4" s="2" t="s">
        <v>21</v>
      </c>
      <c r="L4" s="2">
        <f>COUNTIF(B4:B7,"&lt;&gt;"&amp;"")+COUNTIF(B12:B15,"&lt;&gt;"&amp;"")+COUNTIF(B20:B23,"&lt;&gt;"&amp;"")+COUNTIF(B28:B31,"&lt;&gt;"&amp;"")</f>
        <v>13</v>
      </c>
      <c r="N4" s="2" t="s">
        <v>16</v>
      </c>
      <c r="O4" s="2">
        <v>15</v>
      </c>
      <c r="P4" s="2">
        <f>COUNTIF($H$4:$H$31, "2L")</f>
        <v>12</v>
      </c>
      <c r="Q4" s="2">
        <f>O4-P4</f>
        <v>3</v>
      </c>
    </row>
    <row r="5" spans="1:17" x14ac:dyDescent="0.25">
      <c r="A5" s="2">
        <v>2</v>
      </c>
      <c r="B5" s="2" t="s">
        <v>34</v>
      </c>
      <c r="C5" s="2" t="s">
        <v>37</v>
      </c>
      <c r="D5" s="2" t="s">
        <v>38</v>
      </c>
      <c r="E5" s="2">
        <v>1000</v>
      </c>
      <c r="F5" s="6">
        <v>43539.5</v>
      </c>
      <c r="G5" s="6">
        <v>43581.5</v>
      </c>
      <c r="H5" s="2" t="s">
        <v>16</v>
      </c>
      <c r="I5" s="3" t="s">
        <v>73</v>
      </c>
      <c r="K5" s="2" t="s">
        <v>20</v>
      </c>
      <c r="L5" s="2">
        <f>L3-L4</f>
        <v>3</v>
      </c>
    </row>
    <row r="6" spans="1:17" x14ac:dyDescent="0.25">
      <c r="A6" s="2">
        <v>3</v>
      </c>
      <c r="B6"/>
      <c r="C6"/>
      <c r="D6"/>
      <c r="E6"/>
      <c r="F6" s="6"/>
      <c r="G6" s="6"/>
      <c r="I6" s="3" t="s">
        <v>74</v>
      </c>
    </row>
    <row r="7" spans="1:17" x14ac:dyDescent="0.25">
      <c r="A7" s="2">
        <v>4</v>
      </c>
      <c r="B7"/>
      <c r="C7"/>
      <c r="D7"/>
      <c r="E7"/>
      <c r="F7" s="6"/>
      <c r="G7" s="6"/>
      <c r="I7" s="3" t="s">
        <v>75</v>
      </c>
    </row>
    <row r="8" spans="1:17" x14ac:dyDescent="0.25">
      <c r="F8" s="3" t="s">
        <v>54</v>
      </c>
      <c r="G8" s="3" t="s">
        <v>54</v>
      </c>
      <c r="I8" s="3"/>
    </row>
    <row r="9" spans="1:17" x14ac:dyDescent="0.25">
      <c r="A9" s="2" t="s">
        <v>0</v>
      </c>
      <c r="B9" s="2">
        <v>27</v>
      </c>
      <c r="F9" s="3" t="s">
        <v>54</v>
      </c>
      <c r="G9" s="3" t="s">
        <v>54</v>
      </c>
      <c r="I9" s="3"/>
    </row>
    <row r="10" spans="1:17" x14ac:dyDescent="0.25">
      <c r="A10" s="2" t="s">
        <v>1</v>
      </c>
      <c r="B10" s="2">
        <v>125</v>
      </c>
      <c r="F10" s="3" t="s">
        <v>54</v>
      </c>
      <c r="G10" s="3" t="s">
        <v>54</v>
      </c>
      <c r="I10" s="3"/>
    </row>
    <row r="11" spans="1:17" x14ac:dyDescent="0.25">
      <c r="A11" s="2" t="s">
        <v>2</v>
      </c>
      <c r="B11" s="2" t="s">
        <v>6</v>
      </c>
      <c r="C11" s="2" t="s">
        <v>35</v>
      </c>
      <c r="D11" s="2" t="s">
        <v>36</v>
      </c>
      <c r="E11" s="2" t="s">
        <v>8</v>
      </c>
      <c r="F11" s="3" t="s">
        <v>3</v>
      </c>
      <c r="G11" s="3" t="s">
        <v>4</v>
      </c>
      <c r="H11" s="2" t="s">
        <v>13</v>
      </c>
      <c r="I11" s="2" t="s">
        <v>71</v>
      </c>
    </row>
    <row r="12" spans="1:17" x14ac:dyDescent="0.25">
      <c r="A12" s="2">
        <v>1</v>
      </c>
      <c r="B12" s="2" t="s">
        <v>39</v>
      </c>
      <c r="C12" s="2" t="s">
        <v>37</v>
      </c>
      <c r="D12" s="2" t="s">
        <v>40</v>
      </c>
      <c r="E12" s="2">
        <v>500</v>
      </c>
      <c r="F12" s="6" t="s">
        <v>55</v>
      </c>
      <c r="G12" s="6" t="s">
        <v>63</v>
      </c>
      <c r="H12" s="2" t="s">
        <v>16</v>
      </c>
      <c r="I12" s="3" t="s">
        <v>78</v>
      </c>
    </row>
    <row r="13" spans="1:17" x14ac:dyDescent="0.25">
      <c r="A13" s="2">
        <v>2</v>
      </c>
      <c r="B13" s="2" t="s">
        <v>39</v>
      </c>
      <c r="C13" s="2" t="s">
        <v>37</v>
      </c>
      <c r="D13" s="2" t="s">
        <v>40</v>
      </c>
      <c r="E13" s="2">
        <v>1000</v>
      </c>
      <c r="F13" s="6" t="s">
        <v>55</v>
      </c>
      <c r="G13" s="6" t="s">
        <v>64</v>
      </c>
      <c r="H13" s="2" t="s">
        <v>16</v>
      </c>
      <c r="I13" s="3" t="s">
        <v>76</v>
      </c>
    </row>
    <row r="14" spans="1:17" x14ac:dyDescent="0.25">
      <c r="A14" s="2">
        <v>3</v>
      </c>
      <c r="B14" s="2" t="s">
        <v>39</v>
      </c>
      <c r="C14" s="2" t="s">
        <v>37</v>
      </c>
      <c r="D14" s="2" t="s">
        <v>40</v>
      </c>
      <c r="E14" s="2">
        <v>500</v>
      </c>
      <c r="F14" s="6" t="s">
        <v>55</v>
      </c>
      <c r="G14" s="6" t="s">
        <v>63</v>
      </c>
      <c r="H14" s="2" t="s">
        <v>16</v>
      </c>
      <c r="I14" s="3" t="s">
        <v>77</v>
      </c>
    </row>
    <row r="15" spans="1:17" x14ac:dyDescent="0.25">
      <c r="A15" s="2">
        <v>4</v>
      </c>
      <c r="B15" s="2" t="s">
        <v>39</v>
      </c>
      <c r="C15" s="2" t="s">
        <v>37</v>
      </c>
      <c r="D15" s="2" t="s">
        <v>40</v>
      </c>
      <c r="E15" s="2">
        <v>1000</v>
      </c>
      <c r="F15" s="6" t="s">
        <v>55</v>
      </c>
      <c r="G15" s="6" t="s">
        <v>64</v>
      </c>
      <c r="H15" s="2" t="s">
        <v>16</v>
      </c>
      <c r="I15" s="3" t="s">
        <v>79</v>
      </c>
    </row>
    <row r="16" spans="1:17" x14ac:dyDescent="0.25">
      <c r="F16" s="3" t="s">
        <v>54</v>
      </c>
      <c r="G16" s="3" t="s">
        <v>54</v>
      </c>
      <c r="I16" s="3"/>
      <c r="L16" s="4"/>
    </row>
    <row r="17" spans="1:18" x14ac:dyDescent="0.25">
      <c r="A17" s="2" t="s">
        <v>0</v>
      </c>
      <c r="B17" s="2">
        <v>56</v>
      </c>
      <c r="F17" s="3" t="s">
        <v>54</v>
      </c>
      <c r="G17" s="3" t="s">
        <v>54</v>
      </c>
      <c r="I17" s="3"/>
      <c r="L17" s="5"/>
    </row>
    <row r="18" spans="1:18" x14ac:dyDescent="0.25">
      <c r="A18" s="2" t="s">
        <v>1</v>
      </c>
      <c r="B18" s="2">
        <v>130</v>
      </c>
      <c r="F18" s="3" t="s">
        <v>54</v>
      </c>
      <c r="G18" s="3" t="s">
        <v>54</v>
      </c>
      <c r="I18" s="3"/>
      <c r="L18" s="5"/>
      <c r="N18" s="3"/>
      <c r="R18" s="3"/>
    </row>
    <row r="19" spans="1:18" x14ac:dyDescent="0.25">
      <c r="A19" s="2" t="s">
        <v>2</v>
      </c>
      <c r="B19" s="2" t="s">
        <v>6</v>
      </c>
      <c r="C19" s="2" t="s">
        <v>35</v>
      </c>
      <c r="D19" s="2" t="s">
        <v>36</v>
      </c>
      <c r="E19" s="2" t="s">
        <v>8</v>
      </c>
      <c r="F19" s="3" t="s">
        <v>3</v>
      </c>
      <c r="G19" s="3" t="s">
        <v>4</v>
      </c>
      <c r="H19" s="2" t="s">
        <v>13</v>
      </c>
      <c r="I19" s="2" t="s">
        <v>71</v>
      </c>
      <c r="R19" s="3"/>
    </row>
    <row r="20" spans="1:18" x14ac:dyDescent="0.25">
      <c r="A20" s="2">
        <v>1</v>
      </c>
      <c r="B20" s="2" t="s">
        <v>41</v>
      </c>
      <c r="C20" s="2" t="s">
        <v>42</v>
      </c>
      <c r="D20" s="2" t="s">
        <v>43</v>
      </c>
      <c r="E20" s="2">
        <v>3000</v>
      </c>
      <c r="F20" s="6" t="s">
        <v>56</v>
      </c>
      <c r="G20" s="6" t="s">
        <v>65</v>
      </c>
      <c r="H20" s="2" t="s">
        <v>16</v>
      </c>
      <c r="I20" s="3" t="s">
        <v>80</v>
      </c>
      <c r="R20" s="3"/>
    </row>
    <row r="21" spans="1:18" x14ac:dyDescent="0.25">
      <c r="A21" s="2">
        <v>2</v>
      </c>
      <c r="B21" s="2" t="s">
        <v>45</v>
      </c>
      <c r="C21" s="2" t="s">
        <v>42</v>
      </c>
      <c r="D21" s="2" t="s">
        <v>43</v>
      </c>
      <c r="E21" s="2">
        <v>3000</v>
      </c>
      <c r="F21" s="6" t="s">
        <v>57</v>
      </c>
      <c r="G21" s="6" t="s">
        <v>66</v>
      </c>
      <c r="H21" s="2" t="s">
        <v>16</v>
      </c>
      <c r="I21" s="3" t="s">
        <v>81</v>
      </c>
      <c r="R21" s="3"/>
    </row>
    <row r="22" spans="1:18" x14ac:dyDescent="0.25">
      <c r="A22" s="2">
        <v>3</v>
      </c>
      <c r="B22" s="2" t="s">
        <v>46</v>
      </c>
      <c r="C22" s="2" t="s">
        <v>44</v>
      </c>
      <c r="D22" s="2" t="s">
        <v>47</v>
      </c>
      <c r="E22" s="2">
        <v>1000</v>
      </c>
      <c r="F22" s="6" t="s">
        <v>58</v>
      </c>
      <c r="G22" s="6" t="s">
        <v>67</v>
      </c>
      <c r="H22" s="2" t="s">
        <v>16</v>
      </c>
      <c r="I22" s="3" t="s">
        <v>82</v>
      </c>
    </row>
    <row r="23" spans="1:18" x14ac:dyDescent="0.25">
      <c r="A23" s="2">
        <v>4</v>
      </c>
      <c r="B23" s="2" t="s">
        <v>45</v>
      </c>
      <c r="C23" s="2" t="s">
        <v>42</v>
      </c>
      <c r="D23" s="2" t="s">
        <v>43</v>
      </c>
      <c r="E23" s="2">
        <v>3000</v>
      </c>
      <c r="F23" s="6" t="s">
        <v>59</v>
      </c>
      <c r="G23" s="6" t="s">
        <v>68</v>
      </c>
      <c r="H23" s="2" t="s">
        <v>16</v>
      </c>
      <c r="I23" s="3" t="s">
        <v>83</v>
      </c>
    </row>
    <row r="24" spans="1:18" x14ac:dyDescent="0.25">
      <c r="F24" s="3" t="s">
        <v>54</v>
      </c>
      <c r="G24" s="3" t="s">
        <v>54</v>
      </c>
      <c r="I24" s="3"/>
    </row>
    <row r="25" spans="1:18" x14ac:dyDescent="0.25">
      <c r="A25" s="2" t="s">
        <v>0</v>
      </c>
      <c r="B25" s="2">
        <v>57</v>
      </c>
      <c r="F25" s="3" t="s">
        <v>54</v>
      </c>
      <c r="G25" s="3" t="s">
        <v>54</v>
      </c>
      <c r="I25" s="3"/>
    </row>
    <row r="26" spans="1:18" x14ac:dyDescent="0.25">
      <c r="A26" s="2" t="s">
        <v>1</v>
      </c>
      <c r="B26" s="2">
        <v>100</v>
      </c>
      <c r="F26" s="3" t="s">
        <v>54</v>
      </c>
      <c r="G26" s="3" t="s">
        <v>54</v>
      </c>
      <c r="I26" s="3"/>
    </row>
    <row r="27" spans="1:18" x14ac:dyDescent="0.25">
      <c r="A27" s="2" t="s">
        <v>2</v>
      </c>
      <c r="B27" s="2" t="s">
        <v>6</v>
      </c>
      <c r="C27" s="2" t="s">
        <v>35</v>
      </c>
      <c r="D27" s="2" t="s">
        <v>36</v>
      </c>
      <c r="E27" s="2" t="s">
        <v>8</v>
      </c>
      <c r="F27" s="3" t="s">
        <v>3</v>
      </c>
      <c r="G27" s="3" t="s">
        <v>4</v>
      </c>
      <c r="H27" s="2" t="s">
        <v>13</v>
      </c>
      <c r="I27" s="2" t="s">
        <v>71</v>
      </c>
    </row>
    <row r="28" spans="1:18" x14ac:dyDescent="0.25">
      <c r="A28" s="2">
        <v>1</v>
      </c>
      <c r="B28" s="2" t="s">
        <v>48</v>
      </c>
      <c r="C28" s="2" t="s">
        <v>49</v>
      </c>
      <c r="D28" s="2" t="s">
        <v>50</v>
      </c>
      <c r="E28" s="2">
        <v>336</v>
      </c>
      <c r="F28" s="6" t="s">
        <v>60</v>
      </c>
      <c r="G28" s="6" t="s">
        <v>69</v>
      </c>
      <c r="H28" s="2" t="s">
        <v>14</v>
      </c>
      <c r="I28" s="3" t="s">
        <v>84</v>
      </c>
    </row>
    <row r="29" spans="1:18" x14ac:dyDescent="0.25">
      <c r="A29" s="2">
        <v>2</v>
      </c>
      <c r="B29" s="2" t="s">
        <v>51</v>
      </c>
      <c r="C29" s="2" t="s">
        <v>52</v>
      </c>
      <c r="D29" s="2" t="s">
        <v>53</v>
      </c>
      <c r="E29" s="2">
        <v>1000</v>
      </c>
      <c r="F29" s="6" t="s">
        <v>61</v>
      </c>
      <c r="G29" s="6" t="s">
        <v>70</v>
      </c>
      <c r="H29" s="2" t="s">
        <v>16</v>
      </c>
      <c r="I29" s="3" t="s">
        <v>85</v>
      </c>
    </row>
    <row r="30" spans="1:18" x14ac:dyDescent="0.25">
      <c r="A30" s="2">
        <v>3</v>
      </c>
      <c r="B30" s="2" t="s">
        <v>51</v>
      </c>
      <c r="C30" s="2" t="s">
        <v>52</v>
      </c>
      <c r="D30" s="2" t="s">
        <v>53</v>
      </c>
      <c r="E30" s="2">
        <v>1500</v>
      </c>
      <c r="F30" s="6" t="s">
        <v>62</v>
      </c>
      <c r="G30" s="6" t="s">
        <v>70</v>
      </c>
      <c r="H30" s="2" t="s">
        <v>16</v>
      </c>
      <c r="I30" s="3" t="s">
        <v>86</v>
      </c>
    </row>
    <row r="31" spans="1:18" x14ac:dyDescent="0.25">
      <c r="A31" s="2">
        <v>4</v>
      </c>
      <c r="B31"/>
      <c r="C31"/>
      <c r="D31"/>
      <c r="E31"/>
      <c r="F31" s="6"/>
      <c r="G31" s="6"/>
      <c r="I31" s="3" t="s">
        <v>87</v>
      </c>
    </row>
    <row r="33" spans="4:18" x14ac:dyDescent="0.25">
      <c r="E33" s="3"/>
      <c r="F33" s="3"/>
      <c r="I33" s="3"/>
    </row>
    <row r="35" spans="4:18" x14ac:dyDescent="0.25">
      <c r="E35" s="3"/>
      <c r="F35" s="3"/>
    </row>
    <row r="36" spans="4:18" x14ac:dyDescent="0.25">
      <c r="D36" s="3"/>
      <c r="E36" s="3"/>
    </row>
    <row r="41" spans="4:18" x14ac:dyDescent="0.25">
      <c r="R41" s="2" t="str">
        <f>IF(F32="","",CONCATENATE(TEXT(F32,"mm/dd/yyyy"), " 12:00 PM"))</f>
        <v/>
      </c>
    </row>
    <row r="43" spans="4:18" x14ac:dyDescent="0.25">
      <c r="R43" s="2" t="str">
        <f t="shared" ref="R43" si="0">IF(F33="","",CONCATENATE(TEXT(F33,"mm/dd/yyyy"), " 12:00 PM"))</f>
        <v/>
      </c>
    </row>
    <row r="44" spans="4:18" x14ac:dyDescent="0.25">
      <c r="R44" s="3"/>
    </row>
    <row r="45" spans="4:18" x14ac:dyDescent="0.25">
      <c r="R45" s="3"/>
    </row>
    <row r="46" spans="4:18" x14ac:dyDescent="0.25">
      <c r="R46" s="3"/>
    </row>
    <row r="47" spans="4:18" x14ac:dyDescent="0.25">
      <c r="R47" s="3"/>
    </row>
    <row r="48" spans="4:18" x14ac:dyDescent="0.25">
      <c r="R48" s="3"/>
    </row>
    <row r="49" spans="18:18" x14ac:dyDescent="0.25">
      <c r="R49" s="3" t="str">
        <f t="shared" ref="R49:R54" si="1">IF(E33="","",CONCATENATE(TEXT(E33,"mm/dd/yyyy")," 12:00 PM"))</f>
        <v/>
      </c>
    </row>
    <row r="50" spans="18:18" x14ac:dyDescent="0.25">
      <c r="R50" s="3" t="str">
        <f t="shared" si="1"/>
        <v/>
      </c>
    </row>
    <row r="51" spans="18:18" x14ac:dyDescent="0.25">
      <c r="R51" s="3" t="str">
        <f t="shared" si="1"/>
        <v/>
      </c>
    </row>
    <row r="52" spans="18:18" x14ac:dyDescent="0.25">
      <c r="R52" s="3" t="str">
        <f t="shared" si="1"/>
        <v/>
      </c>
    </row>
    <row r="53" spans="18:18" x14ac:dyDescent="0.25">
      <c r="R53" s="3" t="str">
        <f t="shared" si="1"/>
        <v/>
      </c>
    </row>
    <row r="54" spans="18:18" x14ac:dyDescent="0.25">
      <c r="R54" s="3" t="str">
        <f t="shared" si="1"/>
        <v/>
      </c>
    </row>
  </sheetData>
  <dataValidations disablePrompts="1" count="2">
    <dataValidation type="list" showInputMessage="1" showErrorMessage="1" sqref="H4 J4 H35 G36">
      <formula1>"1L, 2L,"</formula1>
    </dataValidation>
    <dataValidation type="list" allowBlank="1" showInputMessage="1" showErrorMessage="1" sqref="J12:J15 J20:J23 J5:J7 H33 H20:H23 H12:H15 H28:H31 J28:J31 H5:H7">
      <formula1>"1L, 2L"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54"/>
  <sheetViews>
    <sheetView workbookViewId="0">
      <selection sqref="A1:XFD1048576"/>
    </sheetView>
  </sheetViews>
  <sheetFormatPr defaultRowHeight="15" x14ac:dyDescent="0.25"/>
  <cols>
    <col min="1" max="1" width="17" style="2" bestFit="1" customWidth="1"/>
    <col min="2" max="2" width="18.42578125" style="2" bestFit="1" customWidth="1"/>
    <col min="3" max="4" width="16.42578125" style="2" customWidth="1"/>
    <col min="5" max="7" width="19.28515625" style="2" bestFit="1" customWidth="1"/>
    <col min="8" max="8" width="9.140625" style="2"/>
    <col min="9" max="9" width="16.140625" style="2" customWidth="1"/>
    <col min="10" max="10" width="9.140625" style="2"/>
    <col min="11" max="11" width="11" style="2" bestFit="1" customWidth="1"/>
    <col min="12" max="12" width="13.85546875" style="2" bestFit="1" customWidth="1"/>
    <col min="13" max="13" width="9.140625" style="2"/>
    <col min="14" max="14" width="15.28515625" style="2" bestFit="1" customWidth="1"/>
    <col min="15" max="15" width="9.140625" style="2"/>
    <col min="16" max="16" width="6.42578125" style="2" bestFit="1" customWidth="1"/>
    <col min="17" max="17" width="10.42578125" style="2" bestFit="1" customWidth="1"/>
    <col min="18" max="18" width="28.42578125" style="2" customWidth="1"/>
    <col min="19" max="16384" width="9.140625" style="2"/>
  </cols>
  <sheetData>
    <row r="1" spans="1:17" x14ac:dyDescent="0.25">
      <c r="A1" s="2" t="s">
        <v>0</v>
      </c>
      <c r="B1" s="2">
        <v>26</v>
      </c>
    </row>
    <row r="2" spans="1:17" x14ac:dyDescent="0.25">
      <c r="A2" s="2" t="s">
        <v>1</v>
      </c>
      <c r="B2" s="2">
        <v>120</v>
      </c>
      <c r="K2" s="2" t="s">
        <v>23</v>
      </c>
      <c r="N2" s="2" t="s">
        <v>17</v>
      </c>
      <c r="O2" s="2" t="s">
        <v>15</v>
      </c>
      <c r="P2" s="2" t="s">
        <v>18</v>
      </c>
      <c r="Q2" s="2" t="s">
        <v>19</v>
      </c>
    </row>
    <row r="3" spans="1:17" x14ac:dyDescent="0.25">
      <c r="A3" s="2" t="s">
        <v>2</v>
      </c>
      <c r="B3" s="2" t="s">
        <v>6</v>
      </c>
      <c r="C3" s="2" t="s">
        <v>35</v>
      </c>
      <c r="D3" s="2" t="s">
        <v>36</v>
      </c>
      <c r="E3" s="2" t="s">
        <v>8</v>
      </c>
      <c r="F3" s="2" t="s">
        <v>3</v>
      </c>
      <c r="G3" s="2" t="s">
        <v>4</v>
      </c>
      <c r="H3" s="2" t="s">
        <v>13</v>
      </c>
      <c r="I3" s="2" t="s">
        <v>71</v>
      </c>
      <c r="K3" s="2" t="s">
        <v>22</v>
      </c>
      <c r="L3" s="2">
        <f>16</f>
        <v>16</v>
      </c>
      <c r="N3" s="2" t="s">
        <v>14</v>
      </c>
      <c r="O3" s="2">
        <v>10</v>
      </c>
      <c r="P3" s="2">
        <f>COUNTIF($H$4:$H$31, "1L")</f>
        <v>1</v>
      </c>
      <c r="Q3" s="2">
        <f>O3-P3</f>
        <v>9</v>
      </c>
    </row>
    <row r="4" spans="1:17" x14ac:dyDescent="0.25">
      <c r="A4" s="2">
        <v>1</v>
      </c>
      <c r="B4" s="2" t="s">
        <v>34</v>
      </c>
      <c r="C4" s="2" t="s">
        <v>37</v>
      </c>
      <c r="D4" s="2" t="s">
        <v>38</v>
      </c>
      <c r="E4" s="2">
        <v>1000</v>
      </c>
      <c r="F4" s="6">
        <v>43539.5</v>
      </c>
      <c r="G4" s="6">
        <v>43581.5</v>
      </c>
      <c r="H4" s="2" t="s">
        <v>16</v>
      </c>
      <c r="I4" s="3" t="s">
        <v>72</v>
      </c>
      <c r="K4" s="2" t="s">
        <v>21</v>
      </c>
      <c r="L4" s="2">
        <f>COUNTIF(B4:B7,"&lt;&gt;"&amp;"")+COUNTIF(B12:B15,"&lt;&gt;"&amp;"")+COUNTIF(B20:B23,"&lt;&gt;"&amp;"")+COUNTIF(B28:B31,"&lt;&gt;"&amp;"")</f>
        <v>13</v>
      </c>
      <c r="N4" s="2" t="s">
        <v>16</v>
      </c>
      <c r="O4" s="2">
        <v>15</v>
      </c>
      <c r="P4" s="2">
        <f>COUNTIF($H$4:$H$31, "2L")</f>
        <v>12</v>
      </c>
      <c r="Q4" s="2">
        <f>O4-P4</f>
        <v>3</v>
      </c>
    </row>
    <row r="5" spans="1:17" x14ac:dyDescent="0.25">
      <c r="A5" s="2">
        <v>2</v>
      </c>
      <c r="B5" s="2" t="s">
        <v>34</v>
      </c>
      <c r="C5" s="2" t="s">
        <v>37</v>
      </c>
      <c r="D5" s="2" t="s">
        <v>38</v>
      </c>
      <c r="E5" s="2">
        <v>1000</v>
      </c>
      <c r="F5" s="6">
        <v>43539.5</v>
      </c>
      <c r="G5" s="6">
        <v>43581.5</v>
      </c>
      <c r="H5" s="2" t="s">
        <v>16</v>
      </c>
      <c r="I5" s="3" t="s">
        <v>73</v>
      </c>
      <c r="K5" s="2" t="s">
        <v>20</v>
      </c>
      <c r="L5" s="2">
        <f>L3-L4</f>
        <v>3</v>
      </c>
    </row>
    <row r="6" spans="1:17" x14ac:dyDescent="0.25">
      <c r="A6" s="2">
        <v>3</v>
      </c>
      <c r="B6"/>
      <c r="C6"/>
      <c r="D6"/>
      <c r="E6"/>
      <c r="F6" s="6"/>
      <c r="G6" s="6"/>
      <c r="I6" s="3" t="s">
        <v>74</v>
      </c>
    </row>
    <row r="7" spans="1:17" x14ac:dyDescent="0.25">
      <c r="A7" s="2">
        <v>4</v>
      </c>
      <c r="B7"/>
      <c r="C7"/>
      <c r="D7"/>
      <c r="E7"/>
      <c r="F7" s="6"/>
      <c r="G7" s="6"/>
      <c r="I7" s="3" t="s">
        <v>75</v>
      </c>
    </row>
    <row r="8" spans="1:17" x14ac:dyDescent="0.25">
      <c r="F8" s="3" t="s">
        <v>54</v>
      </c>
      <c r="G8" s="3" t="s">
        <v>54</v>
      </c>
      <c r="I8" s="3"/>
    </row>
    <row r="9" spans="1:17" x14ac:dyDescent="0.25">
      <c r="A9" s="2" t="s">
        <v>0</v>
      </c>
      <c r="B9" s="2">
        <v>27</v>
      </c>
      <c r="F9" s="3" t="s">
        <v>54</v>
      </c>
      <c r="G9" s="3" t="s">
        <v>54</v>
      </c>
      <c r="I9" s="3"/>
    </row>
    <row r="10" spans="1:17" x14ac:dyDescent="0.25">
      <c r="A10" s="2" t="s">
        <v>1</v>
      </c>
      <c r="B10" s="2">
        <v>125</v>
      </c>
      <c r="F10" s="3" t="s">
        <v>54</v>
      </c>
      <c r="G10" s="3" t="s">
        <v>54</v>
      </c>
      <c r="I10" s="3"/>
    </row>
    <row r="11" spans="1:17" x14ac:dyDescent="0.25">
      <c r="A11" s="2" t="s">
        <v>2</v>
      </c>
      <c r="B11" s="2" t="s">
        <v>6</v>
      </c>
      <c r="C11" s="2" t="s">
        <v>35</v>
      </c>
      <c r="D11" s="2" t="s">
        <v>36</v>
      </c>
      <c r="E11" s="2" t="s">
        <v>8</v>
      </c>
      <c r="F11" s="3" t="s">
        <v>3</v>
      </c>
      <c r="G11" s="3" t="s">
        <v>4</v>
      </c>
      <c r="H11" s="2" t="s">
        <v>13</v>
      </c>
      <c r="I11" s="2" t="s">
        <v>71</v>
      </c>
    </row>
    <row r="12" spans="1:17" x14ac:dyDescent="0.25">
      <c r="A12" s="2">
        <v>1</v>
      </c>
      <c r="B12" s="2" t="s">
        <v>39</v>
      </c>
      <c r="C12" s="2" t="s">
        <v>37</v>
      </c>
      <c r="D12" s="2" t="s">
        <v>40</v>
      </c>
      <c r="E12" s="2">
        <v>500</v>
      </c>
      <c r="F12" s="6" t="s">
        <v>55</v>
      </c>
      <c r="G12" s="6" t="s">
        <v>63</v>
      </c>
      <c r="H12" s="2" t="s">
        <v>16</v>
      </c>
      <c r="I12" s="3" t="s">
        <v>78</v>
      </c>
    </row>
    <row r="13" spans="1:17" x14ac:dyDescent="0.25">
      <c r="A13" s="2">
        <v>2</v>
      </c>
      <c r="B13" s="2" t="s">
        <v>39</v>
      </c>
      <c r="C13" s="2" t="s">
        <v>37</v>
      </c>
      <c r="D13" s="2" t="s">
        <v>40</v>
      </c>
      <c r="E13" s="2">
        <v>1000</v>
      </c>
      <c r="F13" s="6" t="s">
        <v>55</v>
      </c>
      <c r="G13" s="6" t="s">
        <v>64</v>
      </c>
      <c r="H13" s="2" t="s">
        <v>16</v>
      </c>
      <c r="I13" s="3" t="s">
        <v>76</v>
      </c>
    </row>
    <row r="14" spans="1:17" x14ac:dyDescent="0.25">
      <c r="A14" s="2">
        <v>3</v>
      </c>
      <c r="B14" s="2" t="s">
        <v>39</v>
      </c>
      <c r="C14" s="2" t="s">
        <v>37</v>
      </c>
      <c r="D14" s="2" t="s">
        <v>40</v>
      </c>
      <c r="E14" s="2">
        <v>500</v>
      </c>
      <c r="F14" s="6" t="s">
        <v>55</v>
      </c>
      <c r="G14" s="6" t="s">
        <v>63</v>
      </c>
      <c r="H14" s="2" t="s">
        <v>16</v>
      </c>
      <c r="I14" s="3" t="s">
        <v>77</v>
      </c>
    </row>
    <row r="15" spans="1:17" x14ac:dyDescent="0.25">
      <c r="A15" s="2">
        <v>4</v>
      </c>
      <c r="B15" s="2" t="s">
        <v>39</v>
      </c>
      <c r="C15" s="2" t="s">
        <v>37</v>
      </c>
      <c r="D15" s="2" t="s">
        <v>40</v>
      </c>
      <c r="E15" s="2">
        <v>1000</v>
      </c>
      <c r="F15" s="6" t="s">
        <v>55</v>
      </c>
      <c r="G15" s="6" t="s">
        <v>64</v>
      </c>
      <c r="H15" s="2" t="s">
        <v>16</v>
      </c>
      <c r="I15" s="3" t="s">
        <v>79</v>
      </c>
    </row>
    <row r="16" spans="1:17" x14ac:dyDescent="0.25">
      <c r="F16" s="3" t="s">
        <v>54</v>
      </c>
      <c r="G16" s="3" t="s">
        <v>54</v>
      </c>
      <c r="I16" s="3"/>
      <c r="L16" s="4"/>
    </row>
    <row r="17" spans="1:18" x14ac:dyDescent="0.25">
      <c r="A17" s="2" t="s">
        <v>0</v>
      </c>
      <c r="B17" s="2">
        <v>56</v>
      </c>
      <c r="F17" s="3" t="s">
        <v>54</v>
      </c>
      <c r="G17" s="3" t="s">
        <v>54</v>
      </c>
      <c r="I17" s="3"/>
      <c r="L17" s="5"/>
    </row>
    <row r="18" spans="1:18" x14ac:dyDescent="0.25">
      <c r="A18" s="2" t="s">
        <v>1</v>
      </c>
      <c r="B18" s="2">
        <v>130</v>
      </c>
      <c r="F18" s="3" t="s">
        <v>54</v>
      </c>
      <c r="G18" s="3" t="s">
        <v>54</v>
      </c>
      <c r="I18" s="3"/>
      <c r="L18" s="5"/>
      <c r="N18" s="3"/>
      <c r="R18" s="3"/>
    </row>
    <row r="19" spans="1:18" x14ac:dyDescent="0.25">
      <c r="A19" s="2" t="s">
        <v>2</v>
      </c>
      <c r="B19" s="2" t="s">
        <v>6</v>
      </c>
      <c r="C19" s="2" t="s">
        <v>35</v>
      </c>
      <c r="D19" s="2" t="s">
        <v>36</v>
      </c>
      <c r="E19" s="2" t="s">
        <v>8</v>
      </c>
      <c r="F19" s="3" t="s">
        <v>3</v>
      </c>
      <c r="G19" s="3" t="s">
        <v>4</v>
      </c>
      <c r="H19" s="2" t="s">
        <v>13</v>
      </c>
      <c r="I19" s="2" t="s">
        <v>71</v>
      </c>
      <c r="R19" s="3"/>
    </row>
    <row r="20" spans="1:18" x14ac:dyDescent="0.25">
      <c r="A20" s="2">
        <v>1</v>
      </c>
      <c r="B20" s="2" t="s">
        <v>41</v>
      </c>
      <c r="C20" s="2" t="s">
        <v>42</v>
      </c>
      <c r="D20" s="2" t="s">
        <v>43</v>
      </c>
      <c r="E20" s="2">
        <v>3000</v>
      </c>
      <c r="F20" s="6" t="s">
        <v>56</v>
      </c>
      <c r="G20" s="6" t="s">
        <v>65</v>
      </c>
      <c r="H20" s="2" t="s">
        <v>16</v>
      </c>
      <c r="I20" s="3" t="s">
        <v>80</v>
      </c>
      <c r="R20" s="3"/>
    </row>
    <row r="21" spans="1:18" x14ac:dyDescent="0.25">
      <c r="A21" s="2">
        <v>2</v>
      </c>
      <c r="B21" s="2" t="s">
        <v>45</v>
      </c>
      <c r="C21" s="2" t="s">
        <v>42</v>
      </c>
      <c r="D21" s="2" t="s">
        <v>43</v>
      </c>
      <c r="E21" s="2">
        <v>3000</v>
      </c>
      <c r="F21" s="6" t="s">
        <v>57</v>
      </c>
      <c r="G21" s="6" t="s">
        <v>66</v>
      </c>
      <c r="H21" s="2" t="s">
        <v>16</v>
      </c>
      <c r="I21" s="3" t="s">
        <v>81</v>
      </c>
      <c r="R21" s="3"/>
    </row>
    <row r="22" spans="1:18" x14ac:dyDescent="0.25">
      <c r="A22" s="2">
        <v>3</v>
      </c>
      <c r="B22" s="2" t="s">
        <v>46</v>
      </c>
      <c r="C22" s="2" t="s">
        <v>44</v>
      </c>
      <c r="D22" s="2" t="s">
        <v>47</v>
      </c>
      <c r="E22" s="2">
        <v>1000</v>
      </c>
      <c r="F22" s="6" t="s">
        <v>58</v>
      </c>
      <c r="G22" s="6" t="s">
        <v>67</v>
      </c>
      <c r="H22" s="2" t="s">
        <v>16</v>
      </c>
      <c r="I22" s="3" t="s">
        <v>82</v>
      </c>
    </row>
    <row r="23" spans="1:18" x14ac:dyDescent="0.25">
      <c r="A23" s="2">
        <v>4</v>
      </c>
      <c r="B23" s="2" t="s">
        <v>45</v>
      </c>
      <c r="C23" s="2" t="s">
        <v>42</v>
      </c>
      <c r="D23" s="2" t="s">
        <v>43</v>
      </c>
      <c r="E23" s="2">
        <v>3000</v>
      </c>
      <c r="F23" s="6" t="s">
        <v>59</v>
      </c>
      <c r="G23" s="6" t="s">
        <v>68</v>
      </c>
      <c r="H23" s="2" t="s">
        <v>16</v>
      </c>
      <c r="I23" s="3" t="s">
        <v>83</v>
      </c>
    </row>
    <row r="24" spans="1:18" x14ac:dyDescent="0.25">
      <c r="F24" s="3" t="s">
        <v>54</v>
      </c>
      <c r="G24" s="3" t="s">
        <v>54</v>
      </c>
      <c r="I24" s="3"/>
    </row>
    <row r="25" spans="1:18" x14ac:dyDescent="0.25">
      <c r="A25" s="2" t="s">
        <v>0</v>
      </c>
      <c r="B25" s="2">
        <v>57</v>
      </c>
      <c r="F25" s="3" t="s">
        <v>54</v>
      </c>
      <c r="G25" s="3" t="s">
        <v>54</v>
      </c>
      <c r="I25" s="3"/>
    </row>
    <row r="26" spans="1:18" x14ac:dyDescent="0.25">
      <c r="A26" s="2" t="s">
        <v>1</v>
      </c>
      <c r="B26" s="2">
        <v>100</v>
      </c>
      <c r="F26" s="3" t="s">
        <v>54</v>
      </c>
      <c r="G26" s="3" t="s">
        <v>54</v>
      </c>
      <c r="I26" s="3"/>
    </row>
    <row r="27" spans="1:18" x14ac:dyDescent="0.25">
      <c r="A27" s="2" t="s">
        <v>2</v>
      </c>
      <c r="B27" s="2" t="s">
        <v>6</v>
      </c>
      <c r="C27" s="2" t="s">
        <v>35</v>
      </c>
      <c r="D27" s="2" t="s">
        <v>36</v>
      </c>
      <c r="E27" s="2" t="s">
        <v>8</v>
      </c>
      <c r="F27" s="3" t="s">
        <v>3</v>
      </c>
      <c r="G27" s="3" t="s">
        <v>4</v>
      </c>
      <c r="H27" s="2" t="s">
        <v>13</v>
      </c>
      <c r="I27" s="2" t="s">
        <v>71</v>
      </c>
    </row>
    <row r="28" spans="1:18" x14ac:dyDescent="0.25">
      <c r="A28" s="2">
        <v>1</v>
      </c>
      <c r="B28" s="2" t="s">
        <v>48</v>
      </c>
      <c r="C28" s="2" t="s">
        <v>49</v>
      </c>
      <c r="D28" s="2" t="s">
        <v>50</v>
      </c>
      <c r="E28" s="2">
        <v>336</v>
      </c>
      <c r="F28" s="6" t="s">
        <v>60</v>
      </c>
      <c r="G28" s="6" t="s">
        <v>69</v>
      </c>
      <c r="H28" s="2" t="s">
        <v>14</v>
      </c>
      <c r="I28" s="3" t="s">
        <v>84</v>
      </c>
    </row>
    <row r="29" spans="1:18" x14ac:dyDescent="0.25">
      <c r="A29" s="2">
        <v>2</v>
      </c>
      <c r="B29" s="2" t="s">
        <v>51</v>
      </c>
      <c r="C29" s="2" t="s">
        <v>52</v>
      </c>
      <c r="D29" s="2" t="s">
        <v>53</v>
      </c>
      <c r="E29" s="2">
        <v>1000</v>
      </c>
      <c r="F29" s="6" t="s">
        <v>61</v>
      </c>
      <c r="G29" s="6" t="s">
        <v>70</v>
      </c>
      <c r="H29" s="2" t="s">
        <v>16</v>
      </c>
      <c r="I29" s="3" t="s">
        <v>85</v>
      </c>
    </row>
    <row r="30" spans="1:18" x14ac:dyDescent="0.25">
      <c r="A30" s="2">
        <v>3</v>
      </c>
      <c r="B30" s="2" t="s">
        <v>51</v>
      </c>
      <c r="C30" s="2" t="s">
        <v>52</v>
      </c>
      <c r="D30" s="2" t="s">
        <v>53</v>
      </c>
      <c r="E30" s="2">
        <v>1500</v>
      </c>
      <c r="F30" s="6" t="s">
        <v>62</v>
      </c>
      <c r="G30" s="6" t="s">
        <v>70</v>
      </c>
      <c r="H30" s="2" t="s">
        <v>16</v>
      </c>
      <c r="I30" s="3" t="s">
        <v>86</v>
      </c>
    </row>
    <row r="31" spans="1:18" x14ac:dyDescent="0.25">
      <c r="A31" s="2">
        <v>4</v>
      </c>
      <c r="B31"/>
      <c r="C31"/>
      <c r="D31"/>
      <c r="E31"/>
      <c r="F31" s="6"/>
      <c r="G31" s="6"/>
      <c r="I31" s="3" t="s">
        <v>87</v>
      </c>
    </row>
    <row r="33" spans="4:18" x14ac:dyDescent="0.25">
      <c r="E33" s="3"/>
      <c r="F33" s="3"/>
      <c r="I33" s="3"/>
    </row>
    <row r="35" spans="4:18" x14ac:dyDescent="0.25">
      <c r="E35" s="3"/>
      <c r="F35" s="3"/>
    </row>
    <row r="36" spans="4:18" x14ac:dyDescent="0.25">
      <c r="D36" s="3"/>
      <c r="E36" s="3"/>
    </row>
    <row r="41" spans="4:18" x14ac:dyDescent="0.25">
      <c r="R41" s="2" t="str">
        <f>IF(F32="","",CONCATENATE(TEXT(F32,"mm/dd/yyyy"), " 12:00 PM"))</f>
        <v/>
      </c>
    </row>
    <row r="43" spans="4:18" x14ac:dyDescent="0.25">
      <c r="R43" s="2" t="str">
        <f t="shared" ref="R43" si="0">IF(F33="","",CONCATENATE(TEXT(F33,"mm/dd/yyyy"), " 12:00 PM"))</f>
        <v/>
      </c>
    </row>
    <row r="44" spans="4:18" x14ac:dyDescent="0.25">
      <c r="R44" s="3"/>
    </row>
    <row r="45" spans="4:18" x14ac:dyDescent="0.25">
      <c r="R45" s="3"/>
    </row>
    <row r="46" spans="4:18" x14ac:dyDescent="0.25">
      <c r="R46" s="3"/>
    </row>
    <row r="47" spans="4:18" x14ac:dyDescent="0.25">
      <c r="R47" s="3"/>
    </row>
    <row r="48" spans="4:18" x14ac:dyDescent="0.25">
      <c r="R48" s="3"/>
    </row>
    <row r="49" spans="18:18" x14ac:dyDescent="0.25">
      <c r="R49" s="3" t="str">
        <f t="shared" ref="R49:R54" si="1">IF(E33="","",CONCATENATE(TEXT(E33,"mm/dd/yyyy")," 12:00 PM"))</f>
        <v/>
      </c>
    </row>
    <row r="50" spans="18:18" x14ac:dyDescent="0.25">
      <c r="R50" s="3" t="str">
        <f t="shared" si="1"/>
        <v/>
      </c>
    </row>
    <row r="51" spans="18:18" x14ac:dyDescent="0.25">
      <c r="R51" s="3" t="str">
        <f t="shared" si="1"/>
        <v/>
      </c>
    </row>
    <row r="52" spans="18:18" x14ac:dyDescent="0.25">
      <c r="R52" s="3" t="str">
        <f t="shared" si="1"/>
        <v/>
      </c>
    </row>
    <row r="53" spans="18:18" x14ac:dyDescent="0.25">
      <c r="R53" s="3" t="str">
        <f t="shared" si="1"/>
        <v/>
      </c>
    </row>
    <row r="54" spans="18:18" x14ac:dyDescent="0.25">
      <c r="R54" s="3" t="str">
        <f t="shared" si="1"/>
        <v/>
      </c>
    </row>
  </sheetData>
  <dataValidations count="2">
    <dataValidation type="list" allowBlank="1" showInputMessage="1" showErrorMessage="1" sqref="J12:J15 J20:J23 J5:J7 H33 H20:H23 H12:H15 H28:H31 J28:J31 H5:H7">
      <formula1>"1L, 2L"</formula1>
    </dataValidation>
    <dataValidation type="list" showInputMessage="1" showErrorMessage="1" sqref="H4 J4 H35 G36">
      <formula1>"1L, 2L,"</formula1>
    </dataValidation>
  </dataValidations>
  <pageMargins left="0.7" right="0.7" top="0.75" bottom="0.75" header="0.3" footer="0.3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30"/>
  <sheetViews>
    <sheetView workbookViewId="0">
      <selection activeCell="O13" sqref="O13"/>
    </sheetView>
  </sheetViews>
  <sheetFormatPr defaultRowHeight="15" x14ac:dyDescent="0.25"/>
  <cols>
    <col min="2" max="2" width="19.42578125" bestFit="1" customWidth="1"/>
    <col min="3" max="3" width="11.42578125" bestFit="1" customWidth="1"/>
    <col min="4" max="4" width="11.42578125" customWidth="1"/>
    <col min="5" max="5" width="15.85546875" bestFit="1" customWidth="1"/>
    <col min="6" max="6" width="16.42578125" bestFit="1" customWidth="1"/>
    <col min="7" max="7" width="13.85546875" bestFit="1" customWidth="1"/>
    <col min="12" max="12" width="32.5703125" bestFit="1" customWidth="1"/>
    <col min="13" max="13" width="20.85546875" bestFit="1" customWidth="1"/>
    <col min="14" max="14" width="17.42578125" bestFit="1" customWidth="1"/>
    <col min="15" max="15" width="9.85546875" bestFit="1" customWidth="1"/>
    <col min="16" max="16" width="9.42578125" bestFit="1" customWidth="1"/>
    <col min="19" max="19" width="22.42578125" bestFit="1" customWidth="1"/>
  </cols>
  <sheetData>
    <row r="1" spans="1:19" x14ac:dyDescent="0.25">
      <c r="A1" t="s">
        <v>5</v>
      </c>
      <c r="B1" t="s">
        <v>6</v>
      </c>
      <c r="C1" t="s">
        <v>28</v>
      </c>
      <c r="D1" t="s">
        <v>36</v>
      </c>
      <c r="E1" t="s">
        <v>8</v>
      </c>
      <c r="F1" t="s">
        <v>7</v>
      </c>
      <c r="G1" t="s">
        <v>9</v>
      </c>
      <c r="H1" t="s">
        <v>10</v>
      </c>
      <c r="I1" t="s">
        <v>11</v>
      </c>
      <c r="J1" t="s">
        <v>12</v>
      </c>
      <c r="K1" t="s">
        <v>26</v>
      </c>
      <c r="L1" t="s">
        <v>27</v>
      </c>
      <c r="M1" t="s">
        <v>24</v>
      </c>
      <c r="N1" t="s">
        <v>32</v>
      </c>
      <c r="O1" t="s">
        <v>10</v>
      </c>
      <c r="P1" t="s">
        <v>11</v>
      </c>
      <c r="Q1" t="s">
        <v>12</v>
      </c>
      <c r="R1" t="s">
        <v>26</v>
      </c>
      <c r="S1" t="s">
        <v>33</v>
      </c>
    </row>
    <row r="2" spans="1:19" x14ac:dyDescent="0.25">
      <c r="A2" t="s">
        <v>29</v>
      </c>
      <c r="B2" t="s">
        <v>89</v>
      </c>
      <c r="C2" t="s">
        <v>117</v>
      </c>
      <c r="D2" t="s">
        <v>88</v>
      </c>
      <c r="E2">
        <v>100</v>
      </c>
      <c r="F2">
        <v>100</v>
      </c>
      <c r="G2" s="1">
        <v>43467</v>
      </c>
      <c r="H2">
        <v>48</v>
      </c>
      <c r="I2">
        <v>69</v>
      </c>
      <c r="L2">
        <f>(H2*9.97+I2*3.6+J2*3.59+K2*4.22)*10</f>
        <v>7269.6</v>
      </c>
    </row>
    <row r="3" spans="1:19" x14ac:dyDescent="0.25">
      <c r="A3" t="s">
        <v>30</v>
      </c>
      <c r="B3" t="s">
        <v>90</v>
      </c>
      <c r="C3" t="s">
        <v>117</v>
      </c>
      <c r="D3" t="s">
        <v>88</v>
      </c>
      <c r="E3">
        <v>200</v>
      </c>
      <c r="F3">
        <v>100</v>
      </c>
      <c r="G3" s="1">
        <v>43468</v>
      </c>
      <c r="L3">
        <f t="shared" ref="L3:L19" si="0">(H3*9.97+I3*3.6+J3*3.59+K3*4.22)*10</f>
        <v>0</v>
      </c>
    </row>
    <row r="4" spans="1:19" x14ac:dyDescent="0.25">
      <c r="A4" t="s">
        <v>31</v>
      </c>
      <c r="B4" t="s">
        <v>91</v>
      </c>
      <c r="C4" t="s">
        <v>117</v>
      </c>
      <c r="D4" t="s">
        <v>88</v>
      </c>
      <c r="E4">
        <v>300</v>
      </c>
      <c r="F4">
        <v>100</v>
      </c>
      <c r="G4" s="1">
        <v>43466</v>
      </c>
      <c r="H4">
        <v>50</v>
      </c>
      <c r="I4">
        <v>100</v>
      </c>
      <c r="L4">
        <f t="shared" si="0"/>
        <v>8585</v>
      </c>
    </row>
    <row r="5" spans="1:19" x14ac:dyDescent="0.25">
      <c r="A5" t="s">
        <v>29</v>
      </c>
      <c r="B5" t="s">
        <v>92</v>
      </c>
      <c r="C5" t="s">
        <v>117</v>
      </c>
      <c r="D5" t="s">
        <v>88</v>
      </c>
      <c r="E5">
        <v>400</v>
      </c>
      <c r="F5">
        <v>100</v>
      </c>
      <c r="G5" s="1">
        <v>43480</v>
      </c>
      <c r="H5">
        <v>25</v>
      </c>
      <c r="L5">
        <f t="shared" si="0"/>
        <v>2492.5000000000005</v>
      </c>
    </row>
    <row r="6" spans="1:19" x14ac:dyDescent="0.25">
      <c r="A6" t="s">
        <v>30</v>
      </c>
      <c r="B6" t="s">
        <v>93</v>
      </c>
      <c r="C6" t="s">
        <v>117</v>
      </c>
      <c r="D6" t="s">
        <v>88</v>
      </c>
      <c r="E6">
        <v>211</v>
      </c>
      <c r="F6">
        <v>100</v>
      </c>
      <c r="G6" s="1">
        <v>43481</v>
      </c>
      <c r="H6">
        <v>25</v>
      </c>
      <c r="L6">
        <f t="shared" si="0"/>
        <v>2492.5000000000005</v>
      </c>
    </row>
    <row r="7" spans="1:19" x14ac:dyDescent="0.25">
      <c r="A7" t="s">
        <v>29</v>
      </c>
      <c r="B7" t="s">
        <v>94</v>
      </c>
      <c r="C7" t="s">
        <v>117</v>
      </c>
      <c r="D7" t="s">
        <v>88</v>
      </c>
      <c r="E7">
        <v>200</v>
      </c>
      <c r="F7">
        <v>120</v>
      </c>
      <c r="G7" s="1">
        <v>43485</v>
      </c>
      <c r="H7">
        <v>25</v>
      </c>
      <c r="L7">
        <f t="shared" si="0"/>
        <v>2492.5000000000005</v>
      </c>
    </row>
    <row r="8" spans="1:19" x14ac:dyDescent="0.25">
      <c r="A8" t="s">
        <v>31</v>
      </c>
      <c r="B8" t="s">
        <v>95</v>
      </c>
      <c r="C8" t="s">
        <v>117</v>
      </c>
      <c r="D8" t="s">
        <v>88</v>
      </c>
      <c r="E8">
        <v>500</v>
      </c>
      <c r="F8">
        <v>100</v>
      </c>
      <c r="G8" s="1">
        <v>43485</v>
      </c>
      <c r="H8">
        <v>10</v>
      </c>
      <c r="I8">
        <v>20</v>
      </c>
      <c r="L8">
        <f t="shared" si="0"/>
        <v>1717</v>
      </c>
    </row>
    <row r="9" spans="1:19" x14ac:dyDescent="0.25">
      <c r="A9" t="s">
        <v>30</v>
      </c>
      <c r="B9" t="s">
        <v>96</v>
      </c>
      <c r="C9" t="s">
        <v>117</v>
      </c>
      <c r="D9" t="s">
        <v>88</v>
      </c>
      <c r="E9">
        <v>433</v>
      </c>
      <c r="F9">
        <v>100</v>
      </c>
      <c r="G9" s="1">
        <v>43487</v>
      </c>
      <c r="J9">
        <v>50</v>
      </c>
      <c r="K9">
        <v>48</v>
      </c>
      <c r="L9">
        <f t="shared" si="0"/>
        <v>3820.6</v>
      </c>
    </row>
    <row r="10" spans="1:19" x14ac:dyDescent="0.25">
      <c r="A10" t="s">
        <v>30</v>
      </c>
      <c r="B10" t="s">
        <v>97</v>
      </c>
      <c r="C10" t="s">
        <v>117</v>
      </c>
      <c r="D10" t="s">
        <v>88</v>
      </c>
      <c r="E10">
        <v>41111</v>
      </c>
      <c r="F10">
        <v>120</v>
      </c>
      <c r="G10" s="1">
        <v>43487</v>
      </c>
      <c r="H10">
        <v>45</v>
      </c>
      <c r="L10">
        <f t="shared" si="0"/>
        <v>4486.5</v>
      </c>
    </row>
    <row r="11" spans="1:19" x14ac:dyDescent="0.25">
      <c r="A11" t="s">
        <v>29</v>
      </c>
      <c r="B11" t="s">
        <v>98</v>
      </c>
      <c r="C11" t="s">
        <v>117</v>
      </c>
      <c r="D11" t="s">
        <v>88</v>
      </c>
      <c r="E11">
        <v>123</v>
      </c>
      <c r="F11">
        <v>100</v>
      </c>
      <c r="G11" s="1">
        <v>43488</v>
      </c>
      <c r="H11">
        <v>20</v>
      </c>
      <c r="L11">
        <f t="shared" si="0"/>
        <v>1994</v>
      </c>
    </row>
    <row r="12" spans="1:19" x14ac:dyDescent="0.25">
      <c r="A12" t="s">
        <v>31</v>
      </c>
      <c r="B12" t="s">
        <v>99</v>
      </c>
      <c r="C12" t="s">
        <v>117</v>
      </c>
      <c r="D12" t="s">
        <v>88</v>
      </c>
      <c r="E12">
        <v>500</v>
      </c>
      <c r="F12">
        <v>100</v>
      </c>
      <c r="G12" s="1">
        <v>43490</v>
      </c>
      <c r="H12">
        <v>15</v>
      </c>
      <c r="L12">
        <f t="shared" si="0"/>
        <v>1495.5</v>
      </c>
    </row>
    <row r="13" spans="1:19" x14ac:dyDescent="0.25">
      <c r="A13" t="s">
        <v>29</v>
      </c>
      <c r="B13" t="s">
        <v>100</v>
      </c>
      <c r="C13" t="s">
        <v>117</v>
      </c>
      <c r="D13" t="s">
        <v>88</v>
      </c>
      <c r="E13">
        <v>400</v>
      </c>
      <c r="F13">
        <v>100</v>
      </c>
      <c r="G13" s="1">
        <v>43494</v>
      </c>
      <c r="I13">
        <v>40</v>
      </c>
      <c r="L13">
        <f t="shared" si="0"/>
        <v>1440</v>
      </c>
    </row>
    <row r="14" spans="1:19" x14ac:dyDescent="0.25">
      <c r="A14" t="s">
        <v>29</v>
      </c>
      <c r="B14" t="s">
        <v>101</v>
      </c>
      <c r="C14" t="s">
        <v>117</v>
      </c>
      <c r="D14" t="s">
        <v>88</v>
      </c>
      <c r="E14">
        <v>5000</v>
      </c>
      <c r="F14">
        <v>100</v>
      </c>
      <c r="G14" s="1">
        <v>43494</v>
      </c>
      <c r="J14">
        <v>78</v>
      </c>
      <c r="L14">
        <f t="shared" si="0"/>
        <v>2800.2</v>
      </c>
    </row>
    <row r="15" spans="1:19" x14ac:dyDescent="0.25">
      <c r="A15" t="s">
        <v>30</v>
      </c>
      <c r="B15" t="s">
        <v>102</v>
      </c>
      <c r="C15" t="s">
        <v>117</v>
      </c>
      <c r="D15" t="s">
        <v>88</v>
      </c>
      <c r="E15">
        <v>1000</v>
      </c>
      <c r="F15">
        <v>100</v>
      </c>
      <c r="G15" s="1">
        <v>43498</v>
      </c>
      <c r="K15">
        <v>96</v>
      </c>
      <c r="L15">
        <f t="shared" si="0"/>
        <v>4051.2</v>
      </c>
    </row>
    <row r="16" spans="1:19" x14ac:dyDescent="0.25">
      <c r="A16" t="s">
        <v>30</v>
      </c>
      <c r="B16" t="s">
        <v>103</v>
      </c>
      <c r="C16" t="s">
        <v>117</v>
      </c>
      <c r="D16" t="s">
        <v>88</v>
      </c>
      <c r="E16">
        <v>2000</v>
      </c>
      <c r="F16">
        <v>100</v>
      </c>
      <c r="G16" s="1">
        <v>43498</v>
      </c>
      <c r="L16">
        <f t="shared" si="0"/>
        <v>0</v>
      </c>
    </row>
    <row r="17" spans="1:12" x14ac:dyDescent="0.25">
      <c r="A17" t="s">
        <v>30</v>
      </c>
      <c r="B17" t="s">
        <v>104</v>
      </c>
      <c r="C17" t="s">
        <v>117</v>
      </c>
      <c r="D17" t="s">
        <v>88</v>
      </c>
      <c r="E17">
        <v>3000</v>
      </c>
      <c r="F17">
        <v>100</v>
      </c>
      <c r="G17" s="1">
        <v>43498</v>
      </c>
      <c r="L17">
        <f t="shared" si="0"/>
        <v>0</v>
      </c>
    </row>
    <row r="18" spans="1:12" x14ac:dyDescent="0.25">
      <c r="A18" t="s">
        <v>31</v>
      </c>
      <c r="B18" t="s">
        <v>105</v>
      </c>
      <c r="C18" t="s">
        <v>117</v>
      </c>
      <c r="D18" t="s">
        <v>88</v>
      </c>
      <c r="E18">
        <v>1000</v>
      </c>
      <c r="F18">
        <v>100</v>
      </c>
      <c r="G18" s="1">
        <v>43501</v>
      </c>
      <c r="L18">
        <f t="shared" si="0"/>
        <v>0</v>
      </c>
    </row>
    <row r="19" spans="1:12" x14ac:dyDescent="0.25">
      <c r="A19" t="s">
        <v>31</v>
      </c>
      <c r="B19" t="s">
        <v>106</v>
      </c>
      <c r="C19" t="s">
        <v>117</v>
      </c>
      <c r="D19" t="s">
        <v>88</v>
      </c>
      <c r="E19">
        <v>2000</v>
      </c>
      <c r="F19">
        <v>100</v>
      </c>
      <c r="G19" s="1">
        <v>43501</v>
      </c>
      <c r="L19">
        <f t="shared" si="0"/>
        <v>0</v>
      </c>
    </row>
    <row r="20" spans="1:12" x14ac:dyDescent="0.25">
      <c r="A20" t="s">
        <v>31</v>
      </c>
      <c r="B20" t="s">
        <v>107</v>
      </c>
      <c r="C20" t="s">
        <v>117</v>
      </c>
      <c r="D20" t="s">
        <v>88</v>
      </c>
      <c r="E20">
        <v>2000</v>
      </c>
      <c r="F20">
        <v>100</v>
      </c>
      <c r="G20" s="1">
        <v>43501</v>
      </c>
      <c r="L20">
        <f>(H20*9.97+I20*3.6+J20*3.59+K20*4.22)*10</f>
        <v>0</v>
      </c>
    </row>
    <row r="21" spans="1:12" x14ac:dyDescent="0.25">
      <c r="A21" t="s">
        <v>31</v>
      </c>
      <c r="B21" t="s">
        <v>108</v>
      </c>
      <c r="C21" t="s">
        <v>117</v>
      </c>
      <c r="D21" t="s">
        <v>88</v>
      </c>
      <c r="E21">
        <v>1000</v>
      </c>
      <c r="F21">
        <v>100</v>
      </c>
      <c r="G21" s="1">
        <v>43501</v>
      </c>
      <c r="L21">
        <f>(H21*9.97+I21*3.6+J21*3.59+K21*4.22)*10</f>
        <v>0</v>
      </c>
    </row>
    <row r="22" spans="1:12" x14ac:dyDescent="0.25">
      <c r="A22" t="s">
        <v>31</v>
      </c>
      <c r="B22" t="s">
        <v>109</v>
      </c>
      <c r="C22" t="s">
        <v>117</v>
      </c>
      <c r="D22" t="s">
        <v>88</v>
      </c>
      <c r="E22">
        <v>1000</v>
      </c>
      <c r="F22">
        <v>150</v>
      </c>
      <c r="G22" s="1">
        <v>43530</v>
      </c>
      <c r="H22">
        <v>40</v>
      </c>
      <c r="I22">
        <v>80</v>
      </c>
      <c r="L22">
        <f t="shared" ref="L22:L30" si="1">(H22*9.97+I22*3.6+J22*3.59+K22*4.22)*10</f>
        <v>6868</v>
      </c>
    </row>
    <row r="23" spans="1:12" x14ac:dyDescent="0.25">
      <c r="A23" t="s">
        <v>31</v>
      </c>
      <c r="B23" t="s">
        <v>110</v>
      </c>
      <c r="C23" t="s">
        <v>117</v>
      </c>
      <c r="D23" t="s">
        <v>88</v>
      </c>
      <c r="E23">
        <v>2000</v>
      </c>
      <c r="F23">
        <v>150</v>
      </c>
      <c r="G23" s="1">
        <v>43530</v>
      </c>
      <c r="H23">
        <v>40</v>
      </c>
      <c r="I23">
        <v>80</v>
      </c>
      <c r="L23">
        <f t="shared" si="1"/>
        <v>6868</v>
      </c>
    </row>
    <row r="24" spans="1:12" x14ac:dyDescent="0.25">
      <c r="A24" t="s">
        <v>31</v>
      </c>
      <c r="B24" t="s">
        <v>111</v>
      </c>
      <c r="C24" t="s">
        <v>117</v>
      </c>
      <c r="D24" t="s">
        <v>88</v>
      </c>
      <c r="E24">
        <v>3000</v>
      </c>
      <c r="F24">
        <v>150</v>
      </c>
      <c r="G24" s="1">
        <v>43530</v>
      </c>
      <c r="H24">
        <v>40</v>
      </c>
      <c r="I24">
        <v>80</v>
      </c>
      <c r="L24">
        <f t="shared" si="1"/>
        <v>6868</v>
      </c>
    </row>
    <row r="25" spans="1:12" x14ac:dyDescent="0.25">
      <c r="A25" t="s">
        <v>31</v>
      </c>
      <c r="B25" t="s">
        <v>112</v>
      </c>
      <c r="C25" t="s">
        <v>117</v>
      </c>
      <c r="D25" t="s">
        <v>88</v>
      </c>
      <c r="E25">
        <v>5000</v>
      </c>
      <c r="F25">
        <v>150</v>
      </c>
      <c r="G25" s="1">
        <v>43530</v>
      </c>
      <c r="H25">
        <v>40</v>
      </c>
      <c r="I25">
        <v>80</v>
      </c>
      <c r="L25">
        <f t="shared" si="1"/>
        <v>6868</v>
      </c>
    </row>
    <row r="26" spans="1:12" x14ac:dyDescent="0.25">
      <c r="A26" t="s">
        <v>29</v>
      </c>
      <c r="B26" t="s">
        <v>113</v>
      </c>
      <c r="C26" t="s">
        <v>117</v>
      </c>
      <c r="D26" t="s">
        <v>88</v>
      </c>
      <c r="E26">
        <v>100</v>
      </c>
      <c r="F26">
        <v>125</v>
      </c>
      <c r="G26" s="1">
        <v>43533</v>
      </c>
      <c r="H26">
        <v>5</v>
      </c>
      <c r="L26">
        <f t="shared" si="1"/>
        <v>498.5</v>
      </c>
    </row>
    <row r="27" spans="1:12" x14ac:dyDescent="0.25">
      <c r="A27" t="s">
        <v>29</v>
      </c>
      <c r="B27" t="s">
        <v>114</v>
      </c>
      <c r="C27" t="s">
        <v>117</v>
      </c>
      <c r="D27" t="s">
        <v>88</v>
      </c>
      <c r="E27">
        <v>200</v>
      </c>
      <c r="F27">
        <v>125</v>
      </c>
      <c r="G27" s="1">
        <v>43533</v>
      </c>
      <c r="H27">
        <v>5</v>
      </c>
      <c r="L27">
        <f t="shared" si="1"/>
        <v>498.5</v>
      </c>
    </row>
    <row r="28" spans="1:12" x14ac:dyDescent="0.25">
      <c r="A28" t="s">
        <v>29</v>
      </c>
      <c r="B28" t="s">
        <v>115</v>
      </c>
      <c r="C28" t="s">
        <v>117</v>
      </c>
      <c r="D28" t="s">
        <v>88</v>
      </c>
      <c r="E28">
        <v>300</v>
      </c>
      <c r="F28">
        <v>125</v>
      </c>
      <c r="G28" s="1">
        <v>43533</v>
      </c>
      <c r="H28">
        <v>5</v>
      </c>
      <c r="L28">
        <f t="shared" si="1"/>
        <v>498.5</v>
      </c>
    </row>
    <row r="29" spans="1:12" x14ac:dyDescent="0.25">
      <c r="A29" t="s">
        <v>29</v>
      </c>
      <c r="B29" t="s">
        <v>116</v>
      </c>
      <c r="C29" t="s">
        <v>117</v>
      </c>
      <c r="D29" t="s">
        <v>88</v>
      </c>
      <c r="E29">
        <v>400</v>
      </c>
      <c r="F29">
        <v>125</v>
      </c>
      <c r="G29" s="1">
        <v>43533</v>
      </c>
      <c r="H29">
        <v>5</v>
      </c>
      <c r="L29">
        <f t="shared" si="1"/>
        <v>498.5</v>
      </c>
    </row>
    <row r="30" spans="1:12" x14ac:dyDescent="0.25">
      <c r="A30" t="s">
        <v>29</v>
      </c>
      <c r="B30" t="s">
        <v>148</v>
      </c>
      <c r="C30" t="s">
        <v>149</v>
      </c>
      <c r="D30" t="s">
        <v>150</v>
      </c>
      <c r="E30">
        <v>840</v>
      </c>
      <c r="F30">
        <v>130</v>
      </c>
      <c r="G30" s="1">
        <v>43101</v>
      </c>
      <c r="H30">
        <v>25</v>
      </c>
      <c r="I30">
        <v>10</v>
      </c>
      <c r="L30">
        <f t="shared" si="1"/>
        <v>2852.5</v>
      </c>
    </row>
  </sheetData>
  <sortState ref="A2:L58">
    <sortCondition ref="A2:A58" customList="LWR,High,Normal"/>
    <sortCondition ref="G2:G58"/>
    <sortCondition descending="1" ref="E2:E58"/>
  </sortState>
  <dataValidations count="1">
    <dataValidation type="list" allowBlank="1" showInputMessage="1" showErrorMessage="1" sqref="A2:A50">
      <formula1>"LWR, High, Normal"</formula1>
    </dataValidation>
  </dataValidations>
  <pageMargins left="0.7" right="0.7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51"/>
  <sheetViews>
    <sheetView workbookViewId="0">
      <selection activeCell="A2" sqref="A2:M31"/>
    </sheetView>
  </sheetViews>
  <sheetFormatPr defaultRowHeight="15" x14ac:dyDescent="0.25"/>
  <cols>
    <col min="2" max="2" width="19.42578125" bestFit="1" customWidth="1"/>
    <col min="3" max="3" width="11.42578125" bestFit="1" customWidth="1"/>
    <col min="4" max="4" width="11.42578125" customWidth="1"/>
    <col min="5" max="5" width="15.85546875" bestFit="1" customWidth="1"/>
    <col min="6" max="6" width="16.42578125" bestFit="1" customWidth="1"/>
    <col min="7" max="7" width="13.85546875" bestFit="1" customWidth="1"/>
    <col min="12" max="12" width="32.5703125" bestFit="1" customWidth="1"/>
    <col min="13" max="13" width="20.85546875" bestFit="1" customWidth="1"/>
    <col min="14" max="14" width="17.42578125" bestFit="1" customWidth="1"/>
    <col min="15" max="15" width="9.85546875" bestFit="1" customWidth="1"/>
    <col min="16" max="16" width="9.42578125" bestFit="1" customWidth="1"/>
    <col min="19" max="19" width="22.42578125" bestFit="1" customWidth="1"/>
  </cols>
  <sheetData>
    <row r="1" spans="1:12" x14ac:dyDescent="0.25">
      <c r="A1" t="s">
        <v>5</v>
      </c>
      <c r="B1" t="s">
        <v>6</v>
      </c>
      <c r="C1" t="s">
        <v>28</v>
      </c>
      <c r="D1" t="s">
        <v>36</v>
      </c>
      <c r="E1" t="s">
        <v>8</v>
      </c>
      <c r="F1" t="s">
        <v>7</v>
      </c>
      <c r="G1" t="s">
        <v>9</v>
      </c>
      <c r="H1" t="s">
        <v>10</v>
      </c>
      <c r="I1" t="s">
        <v>11</v>
      </c>
      <c r="J1" t="s">
        <v>12</v>
      </c>
      <c r="K1" t="s">
        <v>26</v>
      </c>
      <c r="L1" t="s">
        <v>27</v>
      </c>
    </row>
    <row r="2" spans="1:12" x14ac:dyDescent="0.25">
      <c r="A2" t="s">
        <v>29</v>
      </c>
      <c r="B2" t="s">
        <v>89</v>
      </c>
      <c r="C2" t="s">
        <v>117</v>
      </c>
      <c r="D2" t="s">
        <v>88</v>
      </c>
      <c r="E2">
        <v>100</v>
      </c>
      <c r="F2">
        <v>100</v>
      </c>
      <c r="G2" s="1">
        <v>43467</v>
      </c>
      <c r="H2">
        <v>48</v>
      </c>
      <c r="I2">
        <v>69</v>
      </c>
      <c r="L2">
        <f>(H2*9.97+I2*3.6+J2*3.59+K2*4.22)*10</f>
        <v>7269.6</v>
      </c>
    </row>
    <row r="3" spans="1:12" x14ac:dyDescent="0.25">
      <c r="A3" t="s">
        <v>30</v>
      </c>
      <c r="B3" t="s">
        <v>90</v>
      </c>
      <c r="C3" t="s">
        <v>117</v>
      </c>
      <c r="D3" t="s">
        <v>88</v>
      </c>
      <c r="E3">
        <v>200</v>
      </c>
      <c r="F3">
        <v>100</v>
      </c>
      <c r="G3" s="1">
        <v>43468</v>
      </c>
      <c r="L3">
        <f t="shared" ref="L3:L19" si="0">(H3*9.97+I3*3.6+J3*3.59+K3*4.22)*10</f>
        <v>0</v>
      </c>
    </row>
    <row r="4" spans="1:12" x14ac:dyDescent="0.25">
      <c r="A4" t="s">
        <v>31</v>
      </c>
      <c r="B4" t="s">
        <v>91</v>
      </c>
      <c r="C4" t="s">
        <v>117</v>
      </c>
      <c r="D4" t="s">
        <v>88</v>
      </c>
      <c r="E4">
        <v>300</v>
      </c>
      <c r="F4">
        <v>100</v>
      </c>
      <c r="G4" s="1">
        <v>43466</v>
      </c>
      <c r="H4">
        <v>50</v>
      </c>
      <c r="I4">
        <v>100</v>
      </c>
      <c r="L4">
        <f t="shared" si="0"/>
        <v>8585</v>
      </c>
    </row>
    <row r="5" spans="1:12" x14ac:dyDescent="0.25">
      <c r="A5" t="s">
        <v>29</v>
      </c>
      <c r="B5" t="s">
        <v>92</v>
      </c>
      <c r="C5" t="s">
        <v>117</v>
      </c>
      <c r="D5" t="s">
        <v>88</v>
      </c>
      <c r="E5">
        <v>400</v>
      </c>
      <c r="F5">
        <v>100</v>
      </c>
      <c r="G5" s="1">
        <v>43480</v>
      </c>
      <c r="H5">
        <v>25</v>
      </c>
      <c r="L5">
        <f t="shared" si="0"/>
        <v>2492.5000000000005</v>
      </c>
    </row>
    <row r="6" spans="1:12" x14ac:dyDescent="0.25">
      <c r="A6" t="s">
        <v>30</v>
      </c>
      <c r="B6" t="s">
        <v>93</v>
      </c>
      <c r="C6" t="s">
        <v>117</v>
      </c>
      <c r="D6" t="s">
        <v>88</v>
      </c>
      <c r="E6">
        <v>211</v>
      </c>
      <c r="F6">
        <v>100</v>
      </c>
      <c r="G6" s="1">
        <v>43481</v>
      </c>
      <c r="H6">
        <v>25</v>
      </c>
      <c r="L6">
        <f t="shared" si="0"/>
        <v>2492.5000000000005</v>
      </c>
    </row>
    <row r="7" spans="1:12" x14ac:dyDescent="0.25">
      <c r="A7" t="s">
        <v>29</v>
      </c>
      <c r="B7" t="s">
        <v>94</v>
      </c>
      <c r="C7" t="s">
        <v>117</v>
      </c>
      <c r="D7" t="s">
        <v>88</v>
      </c>
      <c r="E7">
        <v>200</v>
      </c>
      <c r="F7">
        <v>120</v>
      </c>
      <c r="G7" s="1">
        <v>43485</v>
      </c>
      <c r="H7">
        <v>25</v>
      </c>
      <c r="L7">
        <f t="shared" si="0"/>
        <v>2492.5000000000005</v>
      </c>
    </row>
    <row r="8" spans="1:12" x14ac:dyDescent="0.25">
      <c r="A8" t="s">
        <v>31</v>
      </c>
      <c r="B8" t="s">
        <v>95</v>
      </c>
      <c r="C8" t="s">
        <v>117</v>
      </c>
      <c r="D8" t="s">
        <v>88</v>
      </c>
      <c r="E8">
        <v>500</v>
      </c>
      <c r="F8">
        <v>100</v>
      </c>
      <c r="G8" s="1">
        <v>43485</v>
      </c>
      <c r="H8">
        <v>10</v>
      </c>
      <c r="I8">
        <v>20</v>
      </c>
      <c r="L8">
        <f t="shared" si="0"/>
        <v>1717</v>
      </c>
    </row>
    <row r="9" spans="1:12" x14ac:dyDescent="0.25">
      <c r="A9" t="s">
        <v>30</v>
      </c>
      <c r="B9" t="s">
        <v>96</v>
      </c>
      <c r="C9" t="s">
        <v>117</v>
      </c>
      <c r="D9" t="s">
        <v>88</v>
      </c>
      <c r="E9">
        <v>433</v>
      </c>
      <c r="F9">
        <v>100</v>
      </c>
      <c r="G9" s="1">
        <v>43487</v>
      </c>
      <c r="J9">
        <v>50</v>
      </c>
      <c r="K9">
        <v>48</v>
      </c>
      <c r="L9">
        <f t="shared" si="0"/>
        <v>3820.6</v>
      </c>
    </row>
    <row r="10" spans="1:12" x14ac:dyDescent="0.25">
      <c r="A10" t="s">
        <v>30</v>
      </c>
      <c r="B10" t="s">
        <v>97</v>
      </c>
      <c r="C10" t="s">
        <v>117</v>
      </c>
      <c r="D10" t="s">
        <v>88</v>
      </c>
      <c r="E10">
        <v>41111</v>
      </c>
      <c r="F10">
        <v>120</v>
      </c>
      <c r="G10" s="1">
        <v>43487</v>
      </c>
      <c r="H10">
        <v>45</v>
      </c>
      <c r="L10">
        <f t="shared" si="0"/>
        <v>4486.5</v>
      </c>
    </row>
    <row r="11" spans="1:12" x14ac:dyDescent="0.25">
      <c r="A11" t="s">
        <v>29</v>
      </c>
      <c r="B11" t="s">
        <v>98</v>
      </c>
      <c r="C11" t="s">
        <v>117</v>
      </c>
      <c r="D11" t="s">
        <v>88</v>
      </c>
      <c r="E11">
        <v>123</v>
      </c>
      <c r="F11">
        <v>100</v>
      </c>
      <c r="G11" s="1">
        <v>43488</v>
      </c>
      <c r="H11">
        <v>20</v>
      </c>
      <c r="L11">
        <f t="shared" si="0"/>
        <v>1994</v>
      </c>
    </row>
    <row r="12" spans="1:12" x14ac:dyDescent="0.25">
      <c r="A12" t="s">
        <v>31</v>
      </c>
      <c r="B12" t="s">
        <v>99</v>
      </c>
      <c r="C12" t="s">
        <v>117</v>
      </c>
      <c r="D12" t="s">
        <v>88</v>
      </c>
      <c r="E12">
        <v>500</v>
      </c>
      <c r="F12">
        <v>100</v>
      </c>
      <c r="G12" s="1">
        <v>43490</v>
      </c>
      <c r="H12">
        <v>15</v>
      </c>
      <c r="L12">
        <f t="shared" si="0"/>
        <v>1495.5</v>
      </c>
    </row>
    <row r="13" spans="1:12" x14ac:dyDescent="0.25">
      <c r="A13" t="s">
        <v>29</v>
      </c>
      <c r="B13" t="s">
        <v>100</v>
      </c>
      <c r="C13" t="s">
        <v>117</v>
      </c>
      <c r="D13" t="s">
        <v>88</v>
      </c>
      <c r="E13">
        <v>400</v>
      </c>
      <c r="F13">
        <v>100</v>
      </c>
      <c r="G13" s="1">
        <v>43494</v>
      </c>
      <c r="I13">
        <v>40</v>
      </c>
      <c r="L13">
        <f t="shared" si="0"/>
        <v>1440</v>
      </c>
    </row>
    <row r="14" spans="1:12" x14ac:dyDescent="0.25">
      <c r="A14" t="s">
        <v>29</v>
      </c>
      <c r="B14" t="s">
        <v>101</v>
      </c>
      <c r="C14" t="s">
        <v>117</v>
      </c>
      <c r="D14" t="s">
        <v>88</v>
      </c>
      <c r="E14">
        <v>5000</v>
      </c>
      <c r="F14">
        <v>100</v>
      </c>
      <c r="G14" s="1">
        <v>43494</v>
      </c>
      <c r="J14">
        <v>78</v>
      </c>
      <c r="L14">
        <f t="shared" si="0"/>
        <v>2800.2</v>
      </c>
    </row>
    <row r="15" spans="1:12" x14ac:dyDescent="0.25">
      <c r="A15" t="s">
        <v>30</v>
      </c>
      <c r="B15" t="s">
        <v>102</v>
      </c>
      <c r="C15" t="s">
        <v>117</v>
      </c>
      <c r="D15" t="s">
        <v>88</v>
      </c>
      <c r="E15">
        <v>1000</v>
      </c>
      <c r="F15">
        <v>100</v>
      </c>
      <c r="G15" s="1">
        <v>43498</v>
      </c>
      <c r="K15">
        <v>96</v>
      </c>
      <c r="L15">
        <f t="shared" si="0"/>
        <v>4051.2</v>
      </c>
    </row>
    <row r="16" spans="1:12" x14ac:dyDescent="0.25">
      <c r="A16" t="s">
        <v>30</v>
      </c>
      <c r="B16" t="s">
        <v>103</v>
      </c>
      <c r="C16" t="s">
        <v>117</v>
      </c>
      <c r="D16" t="s">
        <v>88</v>
      </c>
      <c r="E16">
        <v>2000</v>
      </c>
      <c r="F16">
        <v>100</v>
      </c>
      <c r="G16" s="1">
        <v>43498</v>
      </c>
      <c r="L16">
        <f t="shared" si="0"/>
        <v>0</v>
      </c>
    </row>
    <row r="17" spans="1:12" x14ac:dyDescent="0.25">
      <c r="A17" t="s">
        <v>30</v>
      </c>
      <c r="B17" t="s">
        <v>104</v>
      </c>
      <c r="C17" t="s">
        <v>117</v>
      </c>
      <c r="D17" t="s">
        <v>88</v>
      </c>
      <c r="E17">
        <v>3000</v>
      </c>
      <c r="F17">
        <v>100</v>
      </c>
      <c r="G17" s="1">
        <v>43498</v>
      </c>
      <c r="L17">
        <f t="shared" si="0"/>
        <v>0</v>
      </c>
    </row>
    <row r="18" spans="1:12" x14ac:dyDescent="0.25">
      <c r="A18" t="s">
        <v>31</v>
      </c>
      <c r="B18" t="s">
        <v>105</v>
      </c>
      <c r="C18" t="s">
        <v>117</v>
      </c>
      <c r="D18" t="s">
        <v>88</v>
      </c>
      <c r="E18">
        <v>1000</v>
      </c>
      <c r="F18">
        <v>100</v>
      </c>
      <c r="G18" s="1">
        <v>43501</v>
      </c>
      <c r="L18">
        <f t="shared" si="0"/>
        <v>0</v>
      </c>
    </row>
    <row r="19" spans="1:12" x14ac:dyDescent="0.25">
      <c r="A19" t="s">
        <v>31</v>
      </c>
      <c r="B19" t="s">
        <v>106</v>
      </c>
      <c r="C19" t="s">
        <v>117</v>
      </c>
      <c r="D19" t="s">
        <v>88</v>
      </c>
      <c r="E19">
        <v>2000</v>
      </c>
      <c r="F19">
        <v>100</v>
      </c>
      <c r="G19" s="1">
        <v>43501</v>
      </c>
      <c r="L19">
        <f t="shared" si="0"/>
        <v>0</v>
      </c>
    </row>
    <row r="20" spans="1:12" x14ac:dyDescent="0.25">
      <c r="A20" t="s">
        <v>31</v>
      </c>
      <c r="B20" t="s">
        <v>107</v>
      </c>
      <c r="C20" t="s">
        <v>117</v>
      </c>
      <c r="D20" t="s">
        <v>88</v>
      </c>
      <c r="E20">
        <v>2000</v>
      </c>
      <c r="F20">
        <v>100</v>
      </c>
      <c r="G20" s="1">
        <v>43501</v>
      </c>
      <c r="L20">
        <f>(H20*9.97+I20*3.6+J20*3.59+K20*4.22)*10</f>
        <v>0</v>
      </c>
    </row>
    <row r="21" spans="1:12" x14ac:dyDescent="0.25">
      <c r="A21" t="s">
        <v>31</v>
      </c>
      <c r="B21" t="s">
        <v>108</v>
      </c>
      <c r="C21" t="s">
        <v>117</v>
      </c>
      <c r="D21" t="s">
        <v>88</v>
      </c>
      <c r="E21">
        <v>1000</v>
      </c>
      <c r="F21">
        <v>100</v>
      </c>
      <c r="G21" s="1">
        <v>43501</v>
      </c>
      <c r="L21">
        <f>(H21*9.97+I21*3.6+J21*3.59+K21*4.22)*10</f>
        <v>0</v>
      </c>
    </row>
    <row r="22" spans="1:12" x14ac:dyDescent="0.25">
      <c r="A22" t="s">
        <v>31</v>
      </c>
      <c r="B22" t="s">
        <v>109</v>
      </c>
      <c r="C22" t="s">
        <v>117</v>
      </c>
      <c r="D22" t="s">
        <v>88</v>
      </c>
      <c r="E22">
        <v>1000</v>
      </c>
      <c r="F22">
        <v>150</v>
      </c>
      <c r="G22" s="1">
        <v>43530</v>
      </c>
      <c r="H22">
        <v>40</v>
      </c>
      <c r="I22">
        <v>80</v>
      </c>
      <c r="L22">
        <f t="shared" ref="L22:L30" si="1">(H22*9.97+I22*3.6+J22*3.59+K22*4.22)*10</f>
        <v>6868</v>
      </c>
    </row>
    <row r="23" spans="1:12" x14ac:dyDescent="0.25">
      <c r="A23" t="s">
        <v>31</v>
      </c>
      <c r="B23" t="s">
        <v>110</v>
      </c>
      <c r="C23" t="s">
        <v>117</v>
      </c>
      <c r="D23" t="s">
        <v>88</v>
      </c>
      <c r="E23">
        <v>2000</v>
      </c>
      <c r="F23">
        <v>150</v>
      </c>
      <c r="G23" s="1">
        <v>43530</v>
      </c>
      <c r="H23">
        <v>40</v>
      </c>
      <c r="I23">
        <v>80</v>
      </c>
      <c r="L23">
        <f t="shared" si="1"/>
        <v>6868</v>
      </c>
    </row>
    <row r="24" spans="1:12" x14ac:dyDescent="0.25">
      <c r="A24" t="s">
        <v>31</v>
      </c>
      <c r="B24" t="s">
        <v>111</v>
      </c>
      <c r="C24" t="s">
        <v>117</v>
      </c>
      <c r="D24" t="s">
        <v>88</v>
      </c>
      <c r="E24">
        <v>3000</v>
      </c>
      <c r="F24">
        <v>150</v>
      </c>
      <c r="G24" s="1">
        <v>43530</v>
      </c>
      <c r="H24">
        <v>40</v>
      </c>
      <c r="I24">
        <v>80</v>
      </c>
      <c r="L24">
        <f t="shared" si="1"/>
        <v>6868</v>
      </c>
    </row>
    <row r="25" spans="1:12" x14ac:dyDescent="0.25">
      <c r="A25" t="s">
        <v>31</v>
      </c>
      <c r="B25" t="s">
        <v>112</v>
      </c>
      <c r="C25" t="s">
        <v>117</v>
      </c>
      <c r="D25" t="s">
        <v>88</v>
      </c>
      <c r="E25">
        <v>5000</v>
      </c>
      <c r="F25">
        <v>150</v>
      </c>
      <c r="G25" s="1">
        <v>43530</v>
      </c>
      <c r="H25">
        <v>40</v>
      </c>
      <c r="I25">
        <v>80</v>
      </c>
      <c r="L25">
        <f t="shared" si="1"/>
        <v>6868</v>
      </c>
    </row>
    <row r="26" spans="1:12" x14ac:dyDescent="0.25">
      <c r="A26" t="s">
        <v>29</v>
      </c>
      <c r="B26" t="s">
        <v>113</v>
      </c>
      <c r="C26" t="s">
        <v>117</v>
      </c>
      <c r="D26" t="s">
        <v>88</v>
      </c>
      <c r="E26">
        <v>100</v>
      </c>
      <c r="F26">
        <v>125</v>
      </c>
      <c r="G26" s="1">
        <v>43533</v>
      </c>
      <c r="H26">
        <v>5</v>
      </c>
      <c r="L26">
        <f t="shared" si="1"/>
        <v>498.5</v>
      </c>
    </row>
    <row r="27" spans="1:12" x14ac:dyDescent="0.25">
      <c r="A27" t="s">
        <v>29</v>
      </c>
      <c r="B27" t="s">
        <v>114</v>
      </c>
      <c r="C27" t="s">
        <v>117</v>
      </c>
      <c r="D27" t="s">
        <v>88</v>
      </c>
      <c r="E27">
        <v>200</v>
      </c>
      <c r="F27">
        <v>125</v>
      </c>
      <c r="G27" s="1">
        <v>43533</v>
      </c>
      <c r="H27">
        <v>5</v>
      </c>
      <c r="L27">
        <f t="shared" si="1"/>
        <v>498.5</v>
      </c>
    </row>
    <row r="28" spans="1:12" x14ac:dyDescent="0.25">
      <c r="A28" t="s">
        <v>29</v>
      </c>
      <c r="B28" t="s">
        <v>115</v>
      </c>
      <c r="C28" t="s">
        <v>117</v>
      </c>
      <c r="D28" t="s">
        <v>88</v>
      </c>
      <c r="E28">
        <v>300</v>
      </c>
      <c r="F28">
        <v>125</v>
      </c>
      <c r="G28" s="1">
        <v>43533</v>
      </c>
      <c r="H28">
        <v>5</v>
      </c>
      <c r="L28">
        <f t="shared" si="1"/>
        <v>498.5</v>
      </c>
    </row>
    <row r="29" spans="1:12" x14ac:dyDescent="0.25">
      <c r="A29" t="s">
        <v>29</v>
      </c>
      <c r="B29" t="s">
        <v>116</v>
      </c>
      <c r="C29" t="s">
        <v>117</v>
      </c>
      <c r="D29" t="s">
        <v>88</v>
      </c>
      <c r="E29">
        <v>400</v>
      </c>
      <c r="F29">
        <v>125</v>
      </c>
      <c r="G29" s="1">
        <v>43533</v>
      </c>
      <c r="H29">
        <v>5</v>
      </c>
      <c r="L29">
        <f t="shared" si="1"/>
        <v>498.5</v>
      </c>
    </row>
    <row r="30" spans="1:12" x14ac:dyDescent="0.25">
      <c r="A30" t="s">
        <v>29</v>
      </c>
      <c r="B30" t="s">
        <v>148</v>
      </c>
      <c r="C30" t="s">
        <v>149</v>
      </c>
      <c r="D30" t="s">
        <v>150</v>
      </c>
      <c r="E30">
        <v>840</v>
      </c>
      <c r="F30">
        <v>130</v>
      </c>
      <c r="G30" s="1">
        <v>43101</v>
      </c>
      <c r="H30">
        <v>25</v>
      </c>
      <c r="I30">
        <v>10</v>
      </c>
      <c r="L30">
        <f t="shared" si="1"/>
        <v>2852.5</v>
      </c>
    </row>
    <row r="31" spans="1:12" x14ac:dyDescent="0.25">
      <c r="A31" t="s">
        <v>31</v>
      </c>
      <c r="B31" t="s">
        <v>99</v>
      </c>
      <c r="C31" t="s">
        <v>117</v>
      </c>
      <c r="D31" t="s">
        <v>88</v>
      </c>
      <c r="E31">
        <v>500</v>
      </c>
      <c r="F31">
        <v>100</v>
      </c>
      <c r="G31" s="1">
        <v>43490</v>
      </c>
      <c r="H31">
        <v>15</v>
      </c>
      <c r="L31">
        <f t="shared" ref="L31:L36" si="2">(H31*9.97+I31*3.6+J31*3.59+K31*4.22)*10</f>
        <v>1495.5</v>
      </c>
    </row>
    <row r="32" spans="1:12" x14ac:dyDescent="0.25">
      <c r="A32" t="s">
        <v>31</v>
      </c>
      <c r="B32" t="s">
        <v>106</v>
      </c>
      <c r="C32" t="s">
        <v>117</v>
      </c>
      <c r="D32" t="s">
        <v>88</v>
      </c>
      <c r="E32">
        <v>2000</v>
      </c>
      <c r="F32">
        <v>100</v>
      </c>
      <c r="G32" s="1">
        <v>43501</v>
      </c>
      <c r="L32">
        <f t="shared" si="2"/>
        <v>0</v>
      </c>
    </row>
    <row r="33" spans="1:12" x14ac:dyDescent="0.25">
      <c r="A33" t="s">
        <v>31</v>
      </c>
      <c r="B33" t="s">
        <v>107</v>
      </c>
      <c r="C33" t="s">
        <v>117</v>
      </c>
      <c r="D33" t="s">
        <v>88</v>
      </c>
      <c r="E33">
        <v>2000</v>
      </c>
      <c r="F33">
        <v>100</v>
      </c>
      <c r="G33" s="1">
        <v>43501</v>
      </c>
      <c r="L33">
        <f t="shared" si="2"/>
        <v>0</v>
      </c>
    </row>
    <row r="34" spans="1:12" x14ac:dyDescent="0.25">
      <c r="A34" t="s">
        <v>31</v>
      </c>
      <c r="B34" t="s">
        <v>105</v>
      </c>
      <c r="C34" t="s">
        <v>117</v>
      </c>
      <c r="D34" t="s">
        <v>88</v>
      </c>
      <c r="E34">
        <v>1000</v>
      </c>
      <c r="F34">
        <v>100</v>
      </c>
      <c r="G34" s="1">
        <v>43501</v>
      </c>
      <c r="L34">
        <f t="shared" si="2"/>
        <v>0</v>
      </c>
    </row>
    <row r="35" spans="1:12" x14ac:dyDescent="0.25">
      <c r="A35" t="s">
        <v>31</v>
      </c>
      <c r="B35" t="s">
        <v>108</v>
      </c>
      <c r="C35" t="s">
        <v>117</v>
      </c>
      <c r="D35" t="s">
        <v>88</v>
      </c>
      <c r="E35">
        <v>1000</v>
      </c>
      <c r="F35">
        <v>100</v>
      </c>
      <c r="G35" s="1">
        <v>43501</v>
      </c>
      <c r="L35">
        <f t="shared" si="2"/>
        <v>0</v>
      </c>
    </row>
    <row r="36" spans="1:12" x14ac:dyDescent="0.25">
      <c r="A36" t="s">
        <v>31</v>
      </c>
      <c r="B36" t="s">
        <v>112</v>
      </c>
      <c r="C36" t="s">
        <v>117</v>
      </c>
      <c r="D36" t="s">
        <v>88</v>
      </c>
      <c r="E36">
        <v>5000</v>
      </c>
      <c r="F36">
        <v>150</v>
      </c>
      <c r="G36" s="1">
        <v>43530</v>
      </c>
      <c r="H36">
        <v>0</v>
      </c>
      <c r="I36">
        <v>33</v>
      </c>
      <c r="L36">
        <f t="shared" si="2"/>
        <v>1188</v>
      </c>
    </row>
    <row r="37" spans="1:12" x14ac:dyDescent="0.25">
      <c r="A37" t="s">
        <v>31</v>
      </c>
      <c r="B37" t="s">
        <v>112</v>
      </c>
      <c r="C37" t="s">
        <v>117</v>
      </c>
      <c r="D37" t="s">
        <v>88</v>
      </c>
      <c r="E37">
        <v>5000</v>
      </c>
      <c r="F37">
        <v>150</v>
      </c>
      <c r="G37" s="1">
        <v>43530</v>
      </c>
      <c r="H37">
        <v>2</v>
      </c>
      <c r="I37">
        <v>47</v>
      </c>
      <c r="L37">
        <v>1891.4</v>
      </c>
    </row>
    <row r="38" spans="1:12" x14ac:dyDescent="0.25">
      <c r="A38" t="s">
        <v>31</v>
      </c>
      <c r="B38" t="s">
        <v>112</v>
      </c>
      <c r="C38" t="s">
        <v>117</v>
      </c>
      <c r="D38" t="s">
        <v>88</v>
      </c>
      <c r="E38">
        <v>5000</v>
      </c>
      <c r="F38">
        <v>150</v>
      </c>
      <c r="G38" s="1">
        <v>43530</v>
      </c>
      <c r="H38">
        <v>19</v>
      </c>
      <c r="L38">
        <v>1894.3000000000002</v>
      </c>
    </row>
    <row r="39" spans="1:12" x14ac:dyDescent="0.25">
      <c r="A39" t="s">
        <v>31</v>
      </c>
      <c r="B39" t="s">
        <v>112</v>
      </c>
      <c r="C39" t="s">
        <v>117</v>
      </c>
      <c r="D39" t="s">
        <v>88</v>
      </c>
      <c r="E39">
        <v>5000</v>
      </c>
      <c r="F39">
        <v>150</v>
      </c>
      <c r="G39" s="1">
        <v>43530</v>
      </c>
      <c r="H39">
        <v>19</v>
      </c>
      <c r="L39">
        <v>1894.3000000000002</v>
      </c>
    </row>
    <row r="40" spans="1:12" x14ac:dyDescent="0.25">
      <c r="A40" t="s">
        <v>31</v>
      </c>
      <c r="B40" t="s">
        <v>111</v>
      </c>
      <c r="C40" t="s">
        <v>117</v>
      </c>
      <c r="D40" t="s">
        <v>88</v>
      </c>
      <c r="E40">
        <v>3000</v>
      </c>
      <c r="F40">
        <v>150</v>
      </c>
      <c r="G40" s="1">
        <v>43530</v>
      </c>
      <c r="H40">
        <v>0</v>
      </c>
      <c r="I40">
        <v>33</v>
      </c>
      <c r="L40">
        <f>(H40*9.97+I40*3.6+J40*3.59+K40*4.22)*10</f>
        <v>1188</v>
      </c>
    </row>
    <row r="41" spans="1:12" x14ac:dyDescent="0.25">
      <c r="A41" t="s">
        <v>31</v>
      </c>
      <c r="B41" t="s">
        <v>111</v>
      </c>
      <c r="C41" t="s">
        <v>117</v>
      </c>
      <c r="D41" t="s">
        <v>88</v>
      </c>
      <c r="E41">
        <v>3000</v>
      </c>
      <c r="F41">
        <v>150</v>
      </c>
      <c r="G41" s="1">
        <v>43530</v>
      </c>
      <c r="H41">
        <v>2</v>
      </c>
      <c r="I41">
        <v>47</v>
      </c>
      <c r="L41">
        <v>1891.4</v>
      </c>
    </row>
    <row r="42" spans="1:12" x14ac:dyDescent="0.25">
      <c r="A42" t="s">
        <v>31</v>
      </c>
      <c r="B42" t="s">
        <v>111</v>
      </c>
      <c r="C42" t="s">
        <v>117</v>
      </c>
      <c r="D42" t="s">
        <v>88</v>
      </c>
      <c r="E42">
        <v>3000</v>
      </c>
      <c r="F42">
        <v>150</v>
      </c>
      <c r="G42" s="1">
        <v>43530</v>
      </c>
      <c r="H42">
        <v>19</v>
      </c>
      <c r="L42">
        <v>1894.3000000000002</v>
      </c>
    </row>
    <row r="43" spans="1:12" x14ac:dyDescent="0.25">
      <c r="A43" t="s">
        <v>31</v>
      </c>
      <c r="B43" t="s">
        <v>111</v>
      </c>
      <c r="C43" t="s">
        <v>117</v>
      </c>
      <c r="D43" t="s">
        <v>88</v>
      </c>
      <c r="E43">
        <v>3000</v>
      </c>
      <c r="F43">
        <v>150</v>
      </c>
      <c r="G43" s="1">
        <v>43530</v>
      </c>
      <c r="H43">
        <v>19</v>
      </c>
      <c r="L43">
        <v>1894.3000000000002</v>
      </c>
    </row>
    <row r="44" spans="1:12" x14ac:dyDescent="0.25">
      <c r="A44" t="s">
        <v>31</v>
      </c>
      <c r="B44" t="s">
        <v>110</v>
      </c>
      <c r="C44" t="s">
        <v>117</v>
      </c>
      <c r="D44" t="s">
        <v>88</v>
      </c>
      <c r="E44">
        <v>2000</v>
      </c>
      <c r="F44">
        <v>150</v>
      </c>
      <c r="G44" s="1">
        <v>43530</v>
      </c>
      <c r="H44">
        <v>0</v>
      </c>
      <c r="I44">
        <v>33</v>
      </c>
      <c r="L44">
        <f>(H44*9.97+I44*3.6+J44*3.59+K44*4.22)*10</f>
        <v>1188</v>
      </c>
    </row>
    <row r="45" spans="1:12" x14ac:dyDescent="0.25">
      <c r="A45" t="s">
        <v>31</v>
      </c>
      <c r="B45" t="s">
        <v>110</v>
      </c>
      <c r="C45" t="s">
        <v>117</v>
      </c>
      <c r="D45" t="s">
        <v>88</v>
      </c>
      <c r="E45">
        <v>2000</v>
      </c>
      <c r="F45">
        <v>150</v>
      </c>
      <c r="G45" s="1">
        <v>43530</v>
      </c>
      <c r="H45">
        <v>2</v>
      </c>
      <c r="I45">
        <v>47</v>
      </c>
      <c r="L45">
        <v>1891.4</v>
      </c>
    </row>
    <row r="46" spans="1:12" x14ac:dyDescent="0.25">
      <c r="A46" t="s">
        <v>31</v>
      </c>
      <c r="B46" t="s">
        <v>110</v>
      </c>
      <c r="C46" t="s">
        <v>117</v>
      </c>
      <c r="D46" t="s">
        <v>88</v>
      </c>
      <c r="E46">
        <v>2000</v>
      </c>
      <c r="F46">
        <v>150</v>
      </c>
      <c r="G46" s="1">
        <v>43530</v>
      </c>
      <c r="H46">
        <v>19</v>
      </c>
      <c r="L46">
        <v>1894.3000000000002</v>
      </c>
    </row>
    <row r="47" spans="1:12" x14ac:dyDescent="0.25">
      <c r="A47" t="s">
        <v>31</v>
      </c>
      <c r="B47" t="s">
        <v>110</v>
      </c>
      <c r="C47" t="s">
        <v>117</v>
      </c>
      <c r="D47" t="s">
        <v>88</v>
      </c>
      <c r="E47">
        <v>2000</v>
      </c>
      <c r="F47">
        <v>150</v>
      </c>
      <c r="G47" s="1">
        <v>43530</v>
      </c>
      <c r="H47">
        <v>19</v>
      </c>
      <c r="L47">
        <v>1894.3000000000002</v>
      </c>
    </row>
    <row r="48" spans="1:12" x14ac:dyDescent="0.25">
      <c r="A48" t="s">
        <v>31</v>
      </c>
      <c r="B48" t="s">
        <v>109</v>
      </c>
      <c r="C48" t="s">
        <v>117</v>
      </c>
      <c r="D48" t="s">
        <v>88</v>
      </c>
      <c r="E48">
        <v>1000</v>
      </c>
      <c r="F48">
        <v>150</v>
      </c>
      <c r="G48" s="1">
        <v>43530</v>
      </c>
      <c r="H48">
        <v>0</v>
      </c>
      <c r="I48">
        <v>33</v>
      </c>
      <c r="L48">
        <f>(H48*9.97+I48*3.6+J48*3.59+K48*4.22)*10</f>
        <v>1188</v>
      </c>
    </row>
    <row r="49" spans="1:12" x14ac:dyDescent="0.25">
      <c r="A49" t="s">
        <v>31</v>
      </c>
      <c r="B49" t="s">
        <v>109</v>
      </c>
      <c r="C49" t="s">
        <v>117</v>
      </c>
      <c r="D49" t="s">
        <v>88</v>
      </c>
      <c r="E49">
        <v>1000</v>
      </c>
      <c r="F49">
        <v>150</v>
      </c>
      <c r="G49" s="1">
        <v>43530</v>
      </c>
      <c r="H49">
        <v>2</v>
      </c>
      <c r="I49">
        <v>47</v>
      </c>
      <c r="L49">
        <v>1891.4</v>
      </c>
    </row>
    <row r="50" spans="1:12" x14ac:dyDescent="0.25">
      <c r="A50" t="s">
        <v>31</v>
      </c>
      <c r="B50" t="s">
        <v>109</v>
      </c>
      <c r="C50" t="s">
        <v>117</v>
      </c>
      <c r="D50" t="s">
        <v>88</v>
      </c>
      <c r="E50">
        <v>1000</v>
      </c>
      <c r="F50">
        <v>150</v>
      </c>
      <c r="G50" s="1">
        <v>43530</v>
      </c>
      <c r="H50">
        <v>19</v>
      </c>
      <c r="L50">
        <v>1894.3000000000002</v>
      </c>
    </row>
    <row r="51" spans="1:12" x14ac:dyDescent="0.25">
      <c r="A51" t="s">
        <v>31</v>
      </c>
      <c r="B51" t="s">
        <v>109</v>
      </c>
      <c r="C51" t="s">
        <v>117</v>
      </c>
      <c r="D51" t="s">
        <v>88</v>
      </c>
      <c r="E51">
        <v>1000</v>
      </c>
      <c r="F51">
        <v>150</v>
      </c>
      <c r="G51" s="1">
        <v>43530</v>
      </c>
      <c r="H51">
        <v>19</v>
      </c>
      <c r="L51">
        <v>1894.3000000000002</v>
      </c>
    </row>
  </sheetData>
  <dataValidations count="1">
    <dataValidation type="list" allowBlank="1" showInputMessage="1" showErrorMessage="1" sqref="A2:A51">
      <formula1>"LWR, High, Normal"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30"/>
  <sheetViews>
    <sheetView workbookViewId="0">
      <selection sqref="A1:XFD1048576"/>
    </sheetView>
  </sheetViews>
  <sheetFormatPr defaultRowHeight="15" x14ac:dyDescent="0.25"/>
  <cols>
    <col min="2" max="2" width="19.42578125" bestFit="1" customWidth="1"/>
    <col min="3" max="3" width="11.42578125" bestFit="1" customWidth="1"/>
    <col min="4" max="4" width="11.42578125" customWidth="1"/>
    <col min="5" max="5" width="15.85546875" bestFit="1" customWidth="1"/>
    <col min="6" max="6" width="16.42578125" bestFit="1" customWidth="1"/>
    <col min="7" max="7" width="13.85546875" bestFit="1" customWidth="1"/>
    <col min="12" max="12" width="32.5703125" bestFit="1" customWidth="1"/>
    <col min="13" max="13" width="20.85546875" bestFit="1" customWidth="1"/>
    <col min="14" max="14" width="17.42578125" bestFit="1" customWidth="1"/>
    <col min="15" max="15" width="9.85546875" bestFit="1" customWidth="1"/>
    <col min="16" max="16" width="9.42578125" bestFit="1" customWidth="1"/>
    <col min="19" max="19" width="22.42578125" bestFit="1" customWidth="1"/>
  </cols>
  <sheetData>
    <row r="1" spans="1:19" x14ac:dyDescent="0.25">
      <c r="A1" t="s">
        <v>5</v>
      </c>
      <c r="B1" t="s">
        <v>6</v>
      </c>
      <c r="C1" t="s">
        <v>28</v>
      </c>
      <c r="D1" t="s">
        <v>36</v>
      </c>
      <c r="E1" t="s">
        <v>8</v>
      </c>
      <c r="F1" t="s">
        <v>7</v>
      </c>
      <c r="G1" t="s">
        <v>9</v>
      </c>
      <c r="H1" t="s">
        <v>10</v>
      </c>
      <c r="I1" t="s">
        <v>11</v>
      </c>
      <c r="J1" t="s">
        <v>12</v>
      </c>
      <c r="K1" t="s">
        <v>26</v>
      </c>
      <c r="L1" t="s">
        <v>27</v>
      </c>
      <c r="M1" t="s">
        <v>24</v>
      </c>
      <c r="N1" t="s">
        <v>32</v>
      </c>
      <c r="O1" t="s">
        <v>10</v>
      </c>
      <c r="P1" t="s">
        <v>11</v>
      </c>
      <c r="Q1" t="s">
        <v>12</v>
      </c>
      <c r="R1" t="s">
        <v>26</v>
      </c>
      <c r="S1" t="s">
        <v>33</v>
      </c>
    </row>
    <row r="2" spans="1:19" x14ac:dyDescent="0.25">
      <c r="A2" t="s">
        <v>29</v>
      </c>
      <c r="B2" t="s">
        <v>89</v>
      </c>
      <c r="C2" t="s">
        <v>117</v>
      </c>
      <c r="D2" t="s">
        <v>88</v>
      </c>
      <c r="E2">
        <v>100</v>
      </c>
      <c r="F2">
        <v>100</v>
      </c>
      <c r="G2" s="1">
        <v>43467</v>
      </c>
      <c r="H2">
        <v>48</v>
      </c>
      <c r="I2">
        <v>69</v>
      </c>
      <c r="L2">
        <f>(H2*9.97+I2*3.6+J2*3.59+K2*4.22)*10</f>
        <v>7269.6</v>
      </c>
    </row>
    <row r="3" spans="1:19" x14ac:dyDescent="0.25">
      <c r="A3" t="s">
        <v>30</v>
      </c>
      <c r="B3" t="s">
        <v>90</v>
      </c>
      <c r="C3" t="s">
        <v>117</v>
      </c>
      <c r="D3" t="s">
        <v>88</v>
      </c>
      <c r="E3">
        <v>200</v>
      </c>
      <c r="F3">
        <v>100</v>
      </c>
      <c r="G3" s="1">
        <v>43468</v>
      </c>
      <c r="L3">
        <f t="shared" ref="L3:L19" si="0">(H3*9.97+I3*3.6+J3*3.59+K3*4.22)*10</f>
        <v>0</v>
      </c>
    </row>
    <row r="4" spans="1:19" x14ac:dyDescent="0.25">
      <c r="A4" t="s">
        <v>31</v>
      </c>
      <c r="B4" t="s">
        <v>91</v>
      </c>
      <c r="C4" t="s">
        <v>117</v>
      </c>
      <c r="D4" t="s">
        <v>88</v>
      </c>
      <c r="E4">
        <v>300</v>
      </c>
      <c r="F4">
        <v>100</v>
      </c>
      <c r="G4" s="1">
        <v>43466</v>
      </c>
      <c r="H4">
        <v>50</v>
      </c>
      <c r="I4">
        <v>100</v>
      </c>
      <c r="L4">
        <f t="shared" si="0"/>
        <v>8585</v>
      </c>
    </row>
    <row r="5" spans="1:19" x14ac:dyDescent="0.25">
      <c r="A5" t="s">
        <v>29</v>
      </c>
      <c r="B5" t="s">
        <v>92</v>
      </c>
      <c r="C5" t="s">
        <v>117</v>
      </c>
      <c r="D5" t="s">
        <v>88</v>
      </c>
      <c r="E5">
        <v>400</v>
      </c>
      <c r="F5">
        <v>100</v>
      </c>
      <c r="G5" s="1">
        <v>43480</v>
      </c>
      <c r="H5">
        <v>25</v>
      </c>
      <c r="L5">
        <f t="shared" si="0"/>
        <v>2492.5000000000005</v>
      </c>
    </row>
    <row r="6" spans="1:19" x14ac:dyDescent="0.25">
      <c r="A6" t="s">
        <v>30</v>
      </c>
      <c r="B6" t="s">
        <v>93</v>
      </c>
      <c r="C6" t="s">
        <v>117</v>
      </c>
      <c r="D6" t="s">
        <v>88</v>
      </c>
      <c r="E6">
        <v>211</v>
      </c>
      <c r="F6">
        <v>100</v>
      </c>
      <c r="G6" s="1">
        <v>43481</v>
      </c>
      <c r="H6">
        <v>25</v>
      </c>
      <c r="L6">
        <f t="shared" si="0"/>
        <v>2492.5000000000005</v>
      </c>
    </row>
    <row r="7" spans="1:19" x14ac:dyDescent="0.25">
      <c r="A7" t="s">
        <v>29</v>
      </c>
      <c r="B7" t="s">
        <v>94</v>
      </c>
      <c r="C7" t="s">
        <v>117</v>
      </c>
      <c r="D7" t="s">
        <v>88</v>
      </c>
      <c r="E7">
        <v>200</v>
      </c>
      <c r="F7">
        <v>120</v>
      </c>
      <c r="G7" s="1">
        <v>43485</v>
      </c>
      <c r="H7">
        <v>25</v>
      </c>
      <c r="L7">
        <f t="shared" si="0"/>
        <v>2492.5000000000005</v>
      </c>
    </row>
    <row r="8" spans="1:19" x14ac:dyDescent="0.25">
      <c r="A8" t="s">
        <v>31</v>
      </c>
      <c r="B8" t="s">
        <v>95</v>
      </c>
      <c r="C8" t="s">
        <v>117</v>
      </c>
      <c r="D8" t="s">
        <v>88</v>
      </c>
      <c r="E8">
        <v>500</v>
      </c>
      <c r="F8">
        <v>100</v>
      </c>
      <c r="G8" s="1">
        <v>43485</v>
      </c>
      <c r="H8">
        <v>10</v>
      </c>
      <c r="I8">
        <v>20</v>
      </c>
      <c r="L8">
        <f t="shared" si="0"/>
        <v>1717</v>
      </c>
    </row>
    <row r="9" spans="1:19" x14ac:dyDescent="0.25">
      <c r="A9" t="s">
        <v>30</v>
      </c>
      <c r="B9" t="s">
        <v>96</v>
      </c>
      <c r="C9" t="s">
        <v>117</v>
      </c>
      <c r="D9" t="s">
        <v>88</v>
      </c>
      <c r="E9">
        <v>433</v>
      </c>
      <c r="F9">
        <v>100</v>
      </c>
      <c r="G9" s="1">
        <v>43487</v>
      </c>
      <c r="J9">
        <v>50</v>
      </c>
      <c r="K9">
        <v>48</v>
      </c>
      <c r="L9">
        <f t="shared" si="0"/>
        <v>3820.6</v>
      </c>
    </row>
    <row r="10" spans="1:19" x14ac:dyDescent="0.25">
      <c r="A10" t="s">
        <v>30</v>
      </c>
      <c r="B10" t="s">
        <v>97</v>
      </c>
      <c r="C10" t="s">
        <v>117</v>
      </c>
      <c r="D10" t="s">
        <v>88</v>
      </c>
      <c r="E10">
        <v>41111</v>
      </c>
      <c r="F10">
        <v>120</v>
      </c>
      <c r="G10" s="1">
        <v>43487</v>
      </c>
      <c r="H10">
        <v>45</v>
      </c>
      <c r="L10">
        <f t="shared" si="0"/>
        <v>4486.5</v>
      </c>
    </row>
    <row r="11" spans="1:19" x14ac:dyDescent="0.25">
      <c r="A11" t="s">
        <v>29</v>
      </c>
      <c r="B11" t="s">
        <v>98</v>
      </c>
      <c r="C11" t="s">
        <v>117</v>
      </c>
      <c r="D11" t="s">
        <v>88</v>
      </c>
      <c r="E11">
        <v>123</v>
      </c>
      <c r="F11">
        <v>100</v>
      </c>
      <c r="G11" s="1">
        <v>43488</v>
      </c>
      <c r="H11">
        <v>20</v>
      </c>
      <c r="L11">
        <f t="shared" si="0"/>
        <v>1994</v>
      </c>
    </row>
    <row r="12" spans="1:19" x14ac:dyDescent="0.25">
      <c r="A12" t="s">
        <v>31</v>
      </c>
      <c r="B12" t="s">
        <v>99</v>
      </c>
      <c r="C12" t="s">
        <v>117</v>
      </c>
      <c r="D12" t="s">
        <v>88</v>
      </c>
      <c r="E12">
        <v>500</v>
      </c>
      <c r="F12">
        <v>100</v>
      </c>
      <c r="G12" s="1">
        <v>43490</v>
      </c>
      <c r="H12">
        <v>15</v>
      </c>
      <c r="L12">
        <f t="shared" si="0"/>
        <v>1495.5</v>
      </c>
    </row>
    <row r="13" spans="1:19" x14ac:dyDescent="0.25">
      <c r="A13" t="s">
        <v>29</v>
      </c>
      <c r="B13" t="s">
        <v>100</v>
      </c>
      <c r="C13" t="s">
        <v>117</v>
      </c>
      <c r="D13" t="s">
        <v>88</v>
      </c>
      <c r="E13">
        <v>400</v>
      </c>
      <c r="F13">
        <v>100</v>
      </c>
      <c r="G13" s="1">
        <v>43494</v>
      </c>
      <c r="I13">
        <v>40</v>
      </c>
      <c r="L13">
        <f t="shared" si="0"/>
        <v>1440</v>
      </c>
    </row>
    <row r="14" spans="1:19" x14ac:dyDescent="0.25">
      <c r="A14" t="s">
        <v>29</v>
      </c>
      <c r="B14" t="s">
        <v>101</v>
      </c>
      <c r="C14" t="s">
        <v>117</v>
      </c>
      <c r="D14" t="s">
        <v>88</v>
      </c>
      <c r="E14">
        <v>5000</v>
      </c>
      <c r="F14">
        <v>100</v>
      </c>
      <c r="G14" s="1">
        <v>43494</v>
      </c>
      <c r="J14">
        <v>78</v>
      </c>
      <c r="L14">
        <f t="shared" si="0"/>
        <v>2800.2</v>
      </c>
    </row>
    <row r="15" spans="1:19" x14ac:dyDescent="0.25">
      <c r="A15" t="s">
        <v>30</v>
      </c>
      <c r="B15" t="s">
        <v>102</v>
      </c>
      <c r="C15" t="s">
        <v>117</v>
      </c>
      <c r="D15" t="s">
        <v>88</v>
      </c>
      <c r="E15">
        <v>1000</v>
      </c>
      <c r="F15">
        <v>100</v>
      </c>
      <c r="G15" s="1">
        <v>43498</v>
      </c>
      <c r="K15">
        <v>96</v>
      </c>
      <c r="L15">
        <f t="shared" si="0"/>
        <v>4051.2</v>
      </c>
    </row>
    <row r="16" spans="1:19" x14ac:dyDescent="0.25">
      <c r="A16" t="s">
        <v>30</v>
      </c>
      <c r="B16" t="s">
        <v>103</v>
      </c>
      <c r="C16" t="s">
        <v>117</v>
      </c>
      <c r="D16" t="s">
        <v>88</v>
      </c>
      <c r="E16">
        <v>2000</v>
      </c>
      <c r="F16">
        <v>100</v>
      </c>
      <c r="G16" s="1">
        <v>43498</v>
      </c>
      <c r="L16">
        <f t="shared" si="0"/>
        <v>0</v>
      </c>
    </row>
    <row r="17" spans="1:12" x14ac:dyDescent="0.25">
      <c r="A17" t="s">
        <v>30</v>
      </c>
      <c r="B17" t="s">
        <v>104</v>
      </c>
      <c r="C17" t="s">
        <v>117</v>
      </c>
      <c r="D17" t="s">
        <v>88</v>
      </c>
      <c r="E17">
        <v>3000</v>
      </c>
      <c r="F17">
        <v>100</v>
      </c>
      <c r="G17" s="1">
        <v>43498</v>
      </c>
      <c r="L17">
        <f t="shared" si="0"/>
        <v>0</v>
      </c>
    </row>
    <row r="18" spans="1:12" x14ac:dyDescent="0.25">
      <c r="A18" t="s">
        <v>31</v>
      </c>
      <c r="B18" t="s">
        <v>105</v>
      </c>
      <c r="C18" t="s">
        <v>117</v>
      </c>
      <c r="D18" t="s">
        <v>88</v>
      </c>
      <c r="E18">
        <v>1000</v>
      </c>
      <c r="F18">
        <v>100</v>
      </c>
      <c r="G18" s="1">
        <v>43501</v>
      </c>
      <c r="L18">
        <f t="shared" si="0"/>
        <v>0</v>
      </c>
    </row>
    <row r="19" spans="1:12" x14ac:dyDescent="0.25">
      <c r="A19" t="s">
        <v>31</v>
      </c>
      <c r="B19" t="s">
        <v>106</v>
      </c>
      <c r="C19" t="s">
        <v>117</v>
      </c>
      <c r="D19" t="s">
        <v>88</v>
      </c>
      <c r="E19">
        <v>2000</v>
      </c>
      <c r="F19">
        <v>100</v>
      </c>
      <c r="G19" s="1">
        <v>43501</v>
      </c>
      <c r="L19">
        <f t="shared" si="0"/>
        <v>0</v>
      </c>
    </row>
    <row r="20" spans="1:12" x14ac:dyDescent="0.25">
      <c r="A20" t="s">
        <v>31</v>
      </c>
      <c r="B20" t="s">
        <v>107</v>
      </c>
      <c r="C20" t="s">
        <v>117</v>
      </c>
      <c r="D20" t="s">
        <v>88</v>
      </c>
      <c r="E20">
        <v>2000</v>
      </c>
      <c r="F20">
        <v>100</v>
      </c>
      <c r="G20" s="1">
        <v>43501</v>
      </c>
      <c r="L20">
        <f>(H20*9.97+I20*3.6+J20*3.59+K20*4.22)*10</f>
        <v>0</v>
      </c>
    </row>
    <row r="21" spans="1:12" x14ac:dyDescent="0.25">
      <c r="A21" t="s">
        <v>31</v>
      </c>
      <c r="B21" t="s">
        <v>108</v>
      </c>
      <c r="C21" t="s">
        <v>117</v>
      </c>
      <c r="D21" t="s">
        <v>88</v>
      </c>
      <c r="E21">
        <v>1000</v>
      </c>
      <c r="F21">
        <v>100</v>
      </c>
      <c r="G21" s="1">
        <v>43501</v>
      </c>
      <c r="L21">
        <f>(H21*9.97+I21*3.6+J21*3.59+K21*4.22)*10</f>
        <v>0</v>
      </c>
    </row>
    <row r="22" spans="1:12" x14ac:dyDescent="0.25">
      <c r="A22" t="s">
        <v>31</v>
      </c>
      <c r="B22" t="s">
        <v>109</v>
      </c>
      <c r="C22" t="s">
        <v>117</v>
      </c>
      <c r="D22" t="s">
        <v>88</v>
      </c>
      <c r="E22">
        <v>1000</v>
      </c>
      <c r="F22">
        <v>150</v>
      </c>
      <c r="G22" s="1">
        <v>43530</v>
      </c>
      <c r="H22">
        <v>40</v>
      </c>
      <c r="I22">
        <v>80</v>
      </c>
      <c r="L22">
        <f t="shared" ref="L22:L30" si="1">(H22*9.97+I22*3.6+J22*3.59+K22*4.22)*10</f>
        <v>6868</v>
      </c>
    </row>
    <row r="23" spans="1:12" x14ac:dyDescent="0.25">
      <c r="A23" t="s">
        <v>31</v>
      </c>
      <c r="B23" t="s">
        <v>110</v>
      </c>
      <c r="C23" t="s">
        <v>117</v>
      </c>
      <c r="D23" t="s">
        <v>88</v>
      </c>
      <c r="E23">
        <v>2000</v>
      </c>
      <c r="F23">
        <v>150</v>
      </c>
      <c r="G23" s="1">
        <v>43530</v>
      </c>
      <c r="H23">
        <v>40</v>
      </c>
      <c r="I23">
        <v>80</v>
      </c>
      <c r="L23">
        <f t="shared" si="1"/>
        <v>6868</v>
      </c>
    </row>
    <row r="24" spans="1:12" x14ac:dyDescent="0.25">
      <c r="A24" t="s">
        <v>31</v>
      </c>
      <c r="B24" t="s">
        <v>111</v>
      </c>
      <c r="C24" t="s">
        <v>117</v>
      </c>
      <c r="D24" t="s">
        <v>88</v>
      </c>
      <c r="E24">
        <v>3000</v>
      </c>
      <c r="F24">
        <v>150</v>
      </c>
      <c r="G24" s="1">
        <v>43530</v>
      </c>
      <c r="H24">
        <v>40</v>
      </c>
      <c r="I24">
        <v>80</v>
      </c>
      <c r="L24">
        <f t="shared" si="1"/>
        <v>6868</v>
      </c>
    </row>
    <row r="25" spans="1:12" x14ac:dyDescent="0.25">
      <c r="A25" t="s">
        <v>31</v>
      </c>
      <c r="B25" t="s">
        <v>112</v>
      </c>
      <c r="C25" t="s">
        <v>117</v>
      </c>
      <c r="D25" t="s">
        <v>88</v>
      </c>
      <c r="E25">
        <v>5000</v>
      </c>
      <c r="F25">
        <v>150</v>
      </c>
      <c r="G25" s="1">
        <v>43530</v>
      </c>
      <c r="H25">
        <v>40</v>
      </c>
      <c r="I25">
        <v>80</v>
      </c>
      <c r="L25">
        <f t="shared" si="1"/>
        <v>6868</v>
      </c>
    </row>
    <row r="26" spans="1:12" x14ac:dyDescent="0.25">
      <c r="A26" t="s">
        <v>29</v>
      </c>
      <c r="B26" t="s">
        <v>113</v>
      </c>
      <c r="C26" t="s">
        <v>117</v>
      </c>
      <c r="D26" t="s">
        <v>88</v>
      </c>
      <c r="E26">
        <v>100</v>
      </c>
      <c r="F26">
        <v>125</v>
      </c>
      <c r="G26" s="1">
        <v>43533</v>
      </c>
      <c r="H26">
        <v>5</v>
      </c>
      <c r="L26">
        <f t="shared" si="1"/>
        <v>498.5</v>
      </c>
    </row>
    <row r="27" spans="1:12" x14ac:dyDescent="0.25">
      <c r="A27" t="s">
        <v>29</v>
      </c>
      <c r="B27" t="s">
        <v>114</v>
      </c>
      <c r="C27" t="s">
        <v>117</v>
      </c>
      <c r="D27" t="s">
        <v>88</v>
      </c>
      <c r="E27">
        <v>200</v>
      </c>
      <c r="F27">
        <v>125</v>
      </c>
      <c r="G27" s="1">
        <v>43533</v>
      </c>
      <c r="H27">
        <v>5</v>
      </c>
      <c r="L27">
        <f t="shared" si="1"/>
        <v>498.5</v>
      </c>
    </row>
    <row r="28" spans="1:12" x14ac:dyDescent="0.25">
      <c r="A28" t="s">
        <v>29</v>
      </c>
      <c r="B28" t="s">
        <v>115</v>
      </c>
      <c r="C28" t="s">
        <v>117</v>
      </c>
      <c r="D28" t="s">
        <v>88</v>
      </c>
      <c r="E28">
        <v>300</v>
      </c>
      <c r="F28">
        <v>125</v>
      </c>
      <c r="G28" s="1">
        <v>43533</v>
      </c>
      <c r="H28">
        <v>5</v>
      </c>
      <c r="L28">
        <f t="shared" si="1"/>
        <v>498.5</v>
      </c>
    </row>
    <row r="29" spans="1:12" x14ac:dyDescent="0.25">
      <c r="A29" t="s">
        <v>29</v>
      </c>
      <c r="B29" t="s">
        <v>116</v>
      </c>
      <c r="C29" t="s">
        <v>117</v>
      </c>
      <c r="D29" t="s">
        <v>88</v>
      </c>
      <c r="E29">
        <v>400</v>
      </c>
      <c r="F29">
        <v>125</v>
      </c>
      <c r="G29" s="1">
        <v>43533</v>
      </c>
      <c r="H29">
        <v>5</v>
      </c>
      <c r="L29">
        <f t="shared" si="1"/>
        <v>498.5</v>
      </c>
    </row>
    <row r="30" spans="1:12" x14ac:dyDescent="0.25">
      <c r="A30" t="s">
        <v>29</v>
      </c>
      <c r="B30" t="s">
        <v>148</v>
      </c>
      <c r="C30" t="s">
        <v>149</v>
      </c>
      <c r="D30" t="s">
        <v>150</v>
      </c>
      <c r="E30">
        <v>840</v>
      </c>
      <c r="F30">
        <v>130</v>
      </c>
      <c r="G30" s="1">
        <v>43101</v>
      </c>
      <c r="H30">
        <v>25</v>
      </c>
      <c r="I30">
        <v>10</v>
      </c>
      <c r="L30">
        <f t="shared" si="1"/>
        <v>2852.5</v>
      </c>
    </row>
  </sheetData>
  <dataValidations count="1">
    <dataValidation type="list" allowBlank="1" showInputMessage="1" showErrorMessage="1" sqref="A2:A50">
      <formula1>"LWR, High, Normal"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"/>
  <sheetViews>
    <sheetView workbookViewId="0">
      <selection activeCell="A2" sqref="A2:L51"/>
    </sheetView>
  </sheetViews>
  <sheetFormatPr defaultRowHeight="15" x14ac:dyDescent="0.25"/>
  <cols>
    <col min="2" max="2" width="19.42578125" bestFit="1" customWidth="1"/>
    <col min="3" max="3" width="11.42578125" bestFit="1" customWidth="1"/>
    <col min="4" max="4" width="10" bestFit="1" customWidth="1"/>
    <col min="5" max="5" width="16.42578125" bestFit="1" customWidth="1"/>
    <col min="6" max="6" width="15.85546875" bestFit="1" customWidth="1"/>
    <col min="7" max="7" width="13.85546875" bestFit="1" customWidth="1"/>
    <col min="12" max="12" width="32.5703125" bestFit="1" customWidth="1"/>
    <col min="13" max="13" width="20.85546875" bestFit="1" customWidth="1"/>
    <col min="14" max="14" width="17.42578125" bestFit="1" customWidth="1"/>
    <col min="15" max="15" width="9.85546875" bestFit="1" customWidth="1"/>
    <col min="16" max="16" width="9.42578125" bestFit="1" customWidth="1"/>
    <col min="19" max="19" width="22.42578125" bestFit="1" customWidth="1"/>
  </cols>
  <sheetData>
    <row r="1" spans="1:19" x14ac:dyDescent="0.25">
      <c r="A1" t="s">
        <v>5</v>
      </c>
      <c r="B1" t="s">
        <v>6</v>
      </c>
      <c r="C1" t="s">
        <v>28</v>
      </c>
      <c r="D1" t="s">
        <v>36</v>
      </c>
      <c r="E1" t="s">
        <v>8</v>
      </c>
      <c r="F1" t="s">
        <v>7</v>
      </c>
      <c r="G1" t="s">
        <v>9</v>
      </c>
      <c r="H1" t="s">
        <v>10</v>
      </c>
      <c r="I1" t="s">
        <v>11</v>
      </c>
      <c r="J1" t="s">
        <v>12</v>
      </c>
      <c r="K1" t="s">
        <v>26</v>
      </c>
      <c r="L1" t="s">
        <v>27</v>
      </c>
      <c r="M1" t="s">
        <v>24</v>
      </c>
      <c r="N1" t="s">
        <v>32</v>
      </c>
      <c r="O1" t="s">
        <v>10</v>
      </c>
      <c r="P1" t="s">
        <v>11</v>
      </c>
      <c r="Q1" t="s">
        <v>12</v>
      </c>
      <c r="R1" t="s">
        <v>26</v>
      </c>
      <c r="S1" t="s">
        <v>33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U17"/>
  <sheetViews>
    <sheetView workbookViewId="0"/>
  </sheetViews>
  <sheetFormatPr defaultRowHeight="15" x14ac:dyDescent="0.25"/>
  <cols>
    <col min="1" max="1" width="15.5703125" bestFit="1" customWidth="1"/>
    <col min="2" max="2" width="11.42578125" bestFit="1" customWidth="1"/>
    <col min="3" max="3" width="12.140625" bestFit="1" customWidth="1"/>
    <col min="4" max="4" width="19.28515625" bestFit="1" customWidth="1"/>
    <col min="5" max="5" width="19.28515625" style="7" bestFit="1" customWidth="1"/>
    <col min="6" max="6" width="19.42578125" style="7" bestFit="1" customWidth="1"/>
    <col min="7" max="7" width="15.42578125" bestFit="1" customWidth="1"/>
    <col min="8" max="9" width="16.42578125" bestFit="1" customWidth="1"/>
    <col min="14" max="14" width="15.28515625" bestFit="1" customWidth="1"/>
  </cols>
  <sheetData>
    <row r="1" spans="1:21" x14ac:dyDescent="0.25">
      <c r="A1" s="2" t="s">
        <v>6</v>
      </c>
      <c r="B1" s="2" t="s">
        <v>35</v>
      </c>
      <c r="C1" s="2" t="s">
        <v>36</v>
      </c>
      <c r="D1" s="2" t="s">
        <v>8</v>
      </c>
      <c r="E1" s="6" t="s">
        <v>3</v>
      </c>
      <c r="F1" s="6" t="s">
        <v>4</v>
      </c>
      <c r="G1" s="2" t="s">
        <v>13</v>
      </c>
      <c r="H1" t="s">
        <v>71</v>
      </c>
      <c r="I1" t="s">
        <v>7</v>
      </c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</row>
    <row r="2" spans="1:21" x14ac:dyDescent="0.25">
      <c r="A2" s="2" t="s">
        <v>41</v>
      </c>
      <c r="B2" s="2" t="s">
        <v>42</v>
      </c>
      <c r="C2" s="2" t="s">
        <v>43</v>
      </c>
      <c r="D2" s="2">
        <v>3000</v>
      </c>
      <c r="E2" s="6" t="s">
        <v>56</v>
      </c>
      <c r="F2" s="6" t="s">
        <v>65</v>
      </c>
      <c r="G2" s="2" t="s">
        <v>16</v>
      </c>
      <c r="H2" s="3" t="s">
        <v>80</v>
      </c>
      <c r="I2" s="2">
        <v>130</v>
      </c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</row>
    <row r="3" spans="1:21" x14ac:dyDescent="0.25">
      <c r="A3" s="2" t="s">
        <v>34</v>
      </c>
      <c r="B3" s="2" t="s">
        <v>37</v>
      </c>
      <c r="C3" s="2" t="s">
        <v>38</v>
      </c>
      <c r="D3" s="2">
        <v>1000</v>
      </c>
      <c r="E3" s="6">
        <v>43539.5</v>
      </c>
      <c r="F3" s="6">
        <v>43581.5</v>
      </c>
      <c r="G3" s="2" t="s">
        <v>16</v>
      </c>
      <c r="H3" s="3" t="s">
        <v>72</v>
      </c>
      <c r="I3" s="2">
        <v>120</v>
      </c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</row>
    <row r="4" spans="1:21" x14ac:dyDescent="0.25">
      <c r="A4" s="2" t="s">
        <v>34</v>
      </c>
      <c r="B4" s="2" t="s">
        <v>37</v>
      </c>
      <c r="C4" s="2" t="s">
        <v>38</v>
      </c>
      <c r="D4" s="2">
        <v>1000</v>
      </c>
      <c r="E4" s="6">
        <v>43539.5</v>
      </c>
      <c r="F4" s="6">
        <v>43581.5</v>
      </c>
      <c r="G4" s="2" t="s">
        <v>16</v>
      </c>
      <c r="H4" s="3" t="s">
        <v>73</v>
      </c>
      <c r="I4" s="2">
        <v>120</v>
      </c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</row>
    <row r="5" spans="1:21" x14ac:dyDescent="0.25">
      <c r="A5" s="2" t="s">
        <v>48</v>
      </c>
      <c r="B5" s="2" t="s">
        <v>49</v>
      </c>
      <c r="C5" s="2" t="s">
        <v>50</v>
      </c>
      <c r="D5" s="2">
        <v>336</v>
      </c>
      <c r="E5" s="6" t="s">
        <v>60</v>
      </c>
      <c r="F5" s="6" t="s">
        <v>69</v>
      </c>
      <c r="G5" s="2" t="s">
        <v>14</v>
      </c>
      <c r="H5" s="3" t="s">
        <v>84</v>
      </c>
      <c r="I5" s="2">
        <v>100</v>
      </c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6" spans="1:21" x14ac:dyDescent="0.25">
      <c r="A6" s="2" t="s">
        <v>39</v>
      </c>
      <c r="B6" s="2" t="s">
        <v>37</v>
      </c>
      <c r="C6" s="2" t="s">
        <v>40</v>
      </c>
      <c r="D6" s="2">
        <v>500</v>
      </c>
      <c r="E6" s="6" t="s">
        <v>55</v>
      </c>
      <c r="F6" s="6" t="s">
        <v>63</v>
      </c>
      <c r="G6" s="2" t="s">
        <v>16</v>
      </c>
      <c r="H6" s="3" t="s">
        <v>78</v>
      </c>
      <c r="I6" s="2">
        <v>125</v>
      </c>
      <c r="J6" s="8"/>
      <c r="K6" s="8"/>
      <c r="L6" s="8"/>
      <c r="M6" s="8"/>
      <c r="N6" s="8">
        <v>1</v>
      </c>
      <c r="O6" s="8"/>
      <c r="P6" s="8"/>
      <c r="Q6" s="8"/>
      <c r="R6" s="8"/>
      <c r="S6" s="8"/>
      <c r="T6" s="8"/>
      <c r="U6" s="8"/>
    </row>
    <row r="7" spans="1:21" x14ac:dyDescent="0.25">
      <c r="A7" s="2" t="s">
        <v>39</v>
      </c>
      <c r="B7" s="2" t="s">
        <v>37</v>
      </c>
      <c r="C7" s="2" t="s">
        <v>40</v>
      </c>
      <c r="D7" s="2">
        <v>500</v>
      </c>
      <c r="E7" s="6" t="s">
        <v>55</v>
      </c>
      <c r="F7" s="6" t="s">
        <v>63</v>
      </c>
      <c r="G7" s="2" t="s">
        <v>16</v>
      </c>
      <c r="H7" s="3" t="s">
        <v>77</v>
      </c>
      <c r="I7" s="2">
        <v>125</v>
      </c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</row>
    <row r="8" spans="1:21" x14ac:dyDescent="0.25">
      <c r="A8" t="s">
        <v>89</v>
      </c>
      <c r="B8" t="s">
        <v>117</v>
      </c>
      <c r="C8" t="s">
        <v>88</v>
      </c>
      <c r="D8">
        <v>100</v>
      </c>
      <c r="E8" s="6">
        <v>43594.62023148148</v>
      </c>
      <c r="F8" s="6">
        <v>43598.786805555559</v>
      </c>
      <c r="G8" s="2"/>
      <c r="H8" s="3" t="s">
        <v>87</v>
      </c>
      <c r="I8" s="2">
        <v>100</v>
      </c>
    </row>
    <row r="9" spans="1:21" x14ac:dyDescent="0.25">
      <c r="A9" t="s">
        <v>94</v>
      </c>
      <c r="B9" t="s">
        <v>117</v>
      </c>
      <c r="C9" t="s">
        <v>88</v>
      </c>
      <c r="D9">
        <v>200</v>
      </c>
      <c r="E9" s="6">
        <v>43594.62023148148</v>
      </c>
      <c r="F9" s="6">
        <v>43602.953472222223</v>
      </c>
      <c r="G9" s="2"/>
      <c r="H9" s="3" t="s">
        <v>74</v>
      </c>
      <c r="I9" s="2">
        <v>120</v>
      </c>
    </row>
    <row r="10" spans="1:21" x14ac:dyDescent="0.25">
      <c r="A10" t="s">
        <v>94</v>
      </c>
      <c r="B10" t="s">
        <v>117</v>
      </c>
      <c r="C10" t="s">
        <v>88</v>
      </c>
      <c r="D10">
        <v>200</v>
      </c>
      <c r="E10" s="6">
        <v>43594.62023148148</v>
      </c>
      <c r="F10" s="6">
        <v>43602.953472222223</v>
      </c>
      <c r="G10" s="2"/>
      <c r="H10" s="3" t="s">
        <v>75</v>
      </c>
      <c r="I10" s="2">
        <v>120</v>
      </c>
    </row>
    <row r="11" spans="1:21" x14ac:dyDescent="0.25">
      <c r="A11" s="2" t="s">
        <v>45</v>
      </c>
      <c r="B11" s="2" t="s">
        <v>42</v>
      </c>
      <c r="C11" s="2" t="s">
        <v>43</v>
      </c>
      <c r="D11" s="2">
        <v>3000</v>
      </c>
      <c r="E11" s="6" t="s">
        <v>57</v>
      </c>
      <c r="F11" s="6" t="s">
        <v>66</v>
      </c>
      <c r="G11" s="2" t="s">
        <v>16</v>
      </c>
      <c r="H11" s="3" t="s">
        <v>81</v>
      </c>
      <c r="I11" s="2">
        <v>130</v>
      </c>
    </row>
    <row r="12" spans="1:21" x14ac:dyDescent="0.25">
      <c r="A12" s="2" t="s">
        <v>51</v>
      </c>
      <c r="B12" s="2" t="s">
        <v>52</v>
      </c>
      <c r="C12" s="2" t="s">
        <v>53</v>
      </c>
      <c r="D12" s="2">
        <v>1000</v>
      </c>
      <c r="E12" s="6" t="s">
        <v>61</v>
      </c>
      <c r="F12" s="6" t="s">
        <v>70</v>
      </c>
      <c r="G12" s="2" t="s">
        <v>16</v>
      </c>
      <c r="H12" s="3" t="s">
        <v>85</v>
      </c>
      <c r="I12" s="2">
        <v>100</v>
      </c>
    </row>
    <row r="13" spans="1:21" x14ac:dyDescent="0.25">
      <c r="A13" s="2" t="s">
        <v>51</v>
      </c>
      <c r="B13" s="2" t="s">
        <v>52</v>
      </c>
      <c r="C13" s="2" t="s">
        <v>53</v>
      </c>
      <c r="D13" s="2">
        <v>1500</v>
      </c>
      <c r="E13" s="6" t="s">
        <v>62</v>
      </c>
      <c r="F13" s="6" t="s">
        <v>70</v>
      </c>
      <c r="G13" s="2" t="s">
        <v>16</v>
      </c>
      <c r="H13" s="3" t="s">
        <v>86</v>
      </c>
      <c r="I13" s="2">
        <v>100</v>
      </c>
    </row>
    <row r="14" spans="1:21" x14ac:dyDescent="0.25">
      <c r="A14" s="2" t="s">
        <v>46</v>
      </c>
      <c r="B14" s="2" t="s">
        <v>44</v>
      </c>
      <c r="C14" s="2" t="s">
        <v>47</v>
      </c>
      <c r="D14" s="2">
        <v>1000</v>
      </c>
      <c r="E14" s="6" t="s">
        <v>58</v>
      </c>
      <c r="F14" s="6" t="s">
        <v>67</v>
      </c>
      <c r="G14" s="2" t="s">
        <v>16</v>
      </c>
      <c r="H14" s="3" t="s">
        <v>82</v>
      </c>
      <c r="I14" s="2">
        <v>130</v>
      </c>
    </row>
    <row r="15" spans="1:21" x14ac:dyDescent="0.25">
      <c r="A15" s="2" t="s">
        <v>39</v>
      </c>
      <c r="B15" s="2" t="s">
        <v>37</v>
      </c>
      <c r="C15" s="2" t="s">
        <v>40</v>
      </c>
      <c r="D15" s="2">
        <v>1000</v>
      </c>
      <c r="E15" s="6" t="s">
        <v>55</v>
      </c>
      <c r="F15" s="6" t="s">
        <v>64</v>
      </c>
      <c r="G15" s="2" t="s">
        <v>16</v>
      </c>
      <c r="H15" s="3" t="s">
        <v>76</v>
      </c>
      <c r="I15" s="2">
        <v>125</v>
      </c>
    </row>
    <row r="16" spans="1:21" x14ac:dyDescent="0.25">
      <c r="A16" s="2" t="s">
        <v>39</v>
      </c>
      <c r="B16" s="2" t="s">
        <v>37</v>
      </c>
      <c r="C16" s="2" t="s">
        <v>40</v>
      </c>
      <c r="D16" s="2">
        <v>1000</v>
      </c>
      <c r="E16" s="6" t="s">
        <v>55</v>
      </c>
      <c r="F16" s="6" t="s">
        <v>64</v>
      </c>
      <c r="G16" s="2" t="s">
        <v>16</v>
      </c>
      <c r="H16" s="3" t="s">
        <v>79</v>
      </c>
      <c r="I16" s="2">
        <v>125</v>
      </c>
    </row>
    <row r="17" spans="1:9" x14ac:dyDescent="0.25">
      <c r="A17" s="2" t="s">
        <v>45</v>
      </c>
      <c r="B17" s="2" t="s">
        <v>42</v>
      </c>
      <c r="C17" s="2" t="s">
        <v>43</v>
      </c>
      <c r="D17" s="2">
        <v>3000</v>
      </c>
      <c r="E17" s="6" t="s">
        <v>59</v>
      </c>
      <c r="F17" s="6" t="s">
        <v>68</v>
      </c>
      <c r="G17" s="2" t="s">
        <v>16</v>
      </c>
      <c r="H17" s="3" t="s">
        <v>83</v>
      </c>
      <c r="I17" s="2">
        <v>130</v>
      </c>
    </row>
  </sheetData>
  <dataValidations count="2">
    <dataValidation type="list" allowBlank="1" showInputMessage="1" showErrorMessage="1" sqref="G3:G17">
      <formula1>"1L, 2L"</formula1>
    </dataValidation>
    <dataValidation type="list" showInputMessage="1" showErrorMessage="1" sqref="G2">
      <formula1>"1L, 2L,"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8"/>
  <sheetViews>
    <sheetView workbookViewId="0">
      <selection activeCell="A2" sqref="A2:I10"/>
    </sheetView>
  </sheetViews>
  <sheetFormatPr defaultRowHeight="15" x14ac:dyDescent="0.25"/>
  <cols>
    <col min="1" max="1" width="15.5703125" bestFit="1" customWidth="1"/>
    <col min="2" max="2" width="11.42578125" bestFit="1" customWidth="1"/>
    <col min="3" max="3" width="36.5703125" bestFit="1" customWidth="1"/>
    <col min="4" max="4" width="19.28515625" bestFit="1" customWidth="1"/>
    <col min="5" max="5" width="19.28515625" style="7" bestFit="1" customWidth="1"/>
    <col min="6" max="6" width="19.42578125" style="7" bestFit="1" customWidth="1"/>
    <col min="7" max="7" width="15.42578125" bestFit="1" customWidth="1"/>
    <col min="8" max="9" width="16.42578125" bestFit="1" customWidth="1"/>
    <col min="13" max="13" width="11.42578125" bestFit="1" customWidth="1"/>
    <col min="14" max="14" width="8.7109375" bestFit="1" customWidth="1"/>
  </cols>
  <sheetData>
    <row r="1" spans="1:21" x14ac:dyDescent="0.25">
      <c r="A1" s="2" t="s">
        <v>6</v>
      </c>
      <c r="B1" s="2" t="s">
        <v>35</v>
      </c>
      <c r="C1" s="2" t="s">
        <v>36</v>
      </c>
      <c r="D1" s="2" t="s">
        <v>8</v>
      </c>
      <c r="E1" s="6" t="s">
        <v>3</v>
      </c>
      <c r="F1" s="6" t="s">
        <v>4</v>
      </c>
      <c r="G1" s="2" t="s">
        <v>13</v>
      </c>
      <c r="H1" t="s">
        <v>71</v>
      </c>
      <c r="I1" t="s">
        <v>7</v>
      </c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</row>
    <row r="2" spans="1:21" x14ac:dyDescent="0.25">
      <c r="A2" t="s">
        <v>97</v>
      </c>
      <c r="B2" t="s">
        <v>117</v>
      </c>
      <c r="C2" t="s">
        <v>88</v>
      </c>
      <c r="D2">
        <v>41111</v>
      </c>
      <c r="E2" s="6">
        <v>43581.5</v>
      </c>
      <c r="F2" s="6">
        <v>45294.458333333336</v>
      </c>
      <c r="G2" s="2"/>
      <c r="H2" s="3" t="s">
        <v>72</v>
      </c>
      <c r="I2" s="2">
        <v>120</v>
      </c>
    </row>
    <row r="3" spans="1:21" x14ac:dyDescent="0.25">
      <c r="A3" t="s">
        <v>97</v>
      </c>
      <c r="B3" t="s">
        <v>117</v>
      </c>
      <c r="C3" t="s">
        <v>88</v>
      </c>
      <c r="D3">
        <v>41111</v>
      </c>
      <c r="E3" s="6">
        <v>43581.5</v>
      </c>
      <c r="F3" s="6">
        <v>45294.458333333336</v>
      </c>
      <c r="G3" s="2"/>
      <c r="H3" s="3" t="s">
        <v>73</v>
      </c>
      <c r="I3" s="2">
        <v>120</v>
      </c>
    </row>
    <row r="4" spans="1:21" x14ac:dyDescent="0.25">
      <c r="A4" t="s">
        <v>97</v>
      </c>
      <c r="B4" t="s">
        <v>117</v>
      </c>
      <c r="C4" t="s">
        <v>88</v>
      </c>
      <c r="D4">
        <v>41111</v>
      </c>
      <c r="E4" s="6">
        <v>43749.5</v>
      </c>
      <c r="F4" s="6">
        <v>45462.458333333336</v>
      </c>
      <c r="G4" s="2"/>
      <c r="H4" s="3" t="s">
        <v>74</v>
      </c>
      <c r="I4" s="2">
        <v>120</v>
      </c>
    </row>
    <row r="8" spans="1:21" x14ac:dyDescent="0.25">
      <c r="A8" t="s">
        <v>101</v>
      </c>
      <c r="B8" t="s">
        <v>117</v>
      </c>
      <c r="C8" t="s">
        <v>88</v>
      </c>
      <c r="D8">
        <v>5000</v>
      </c>
      <c r="E8" s="6">
        <v>43678.5</v>
      </c>
      <c r="F8" s="6">
        <v>43886.833333333336</v>
      </c>
      <c r="G8" s="2"/>
      <c r="H8" s="3" t="s">
        <v>86</v>
      </c>
      <c r="I8" s="2">
        <v>100</v>
      </c>
    </row>
  </sheetData>
  <sortState ref="A2:I6">
    <sortCondition ref="F2:F6"/>
  </sortState>
  <dataValidations count="1">
    <dataValidation type="list" allowBlank="1" showInputMessage="1" showErrorMessage="1" sqref="G8 G2:G4">
      <formula1>"1L, 2L"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4040"/>
  <sheetViews>
    <sheetView tabSelected="1" workbookViewId="0">
      <selection activeCell="N12" sqref="N12"/>
    </sheetView>
  </sheetViews>
  <sheetFormatPr defaultRowHeight="15" x14ac:dyDescent="0.25"/>
  <cols>
    <col min="1" max="1" width="49.140625" style="2" bestFit="1" customWidth="1"/>
    <col min="2" max="2" width="11.42578125" style="2" bestFit="1" customWidth="1"/>
    <col min="3" max="3" width="12.140625" style="2" bestFit="1" customWidth="1"/>
    <col min="4" max="4" width="15.85546875" style="2" bestFit="1" customWidth="1"/>
    <col min="5" max="6" width="19.28515625" style="2" bestFit="1" customWidth="1"/>
    <col min="7" max="7" width="9.140625" style="2"/>
    <col min="8" max="8" width="13.7109375" style="2" bestFit="1" customWidth="1"/>
    <col min="9" max="9" width="10.28515625" style="2" bestFit="1" customWidth="1"/>
    <col min="10" max="10" width="19.28515625" style="6" bestFit="1" customWidth="1"/>
    <col min="11" max="11" width="9.140625" style="2"/>
    <col min="12" max="12" width="14.85546875" style="2" bestFit="1" customWidth="1"/>
    <col min="13" max="13" width="19.28515625" style="2" bestFit="1" customWidth="1"/>
    <col min="14" max="17" width="9.140625" style="2"/>
    <col min="18" max="18" width="41.140625" style="2" customWidth="1"/>
    <col min="19" max="16384" width="9.140625" style="2"/>
  </cols>
  <sheetData>
    <row r="1" spans="1:18" x14ac:dyDescent="0.25">
      <c r="A1" s="2" t="s">
        <v>6</v>
      </c>
      <c r="B1" s="2" t="s">
        <v>35</v>
      </c>
      <c r="C1" s="2" t="s">
        <v>36</v>
      </c>
      <c r="D1" s="2" t="s">
        <v>8</v>
      </c>
      <c r="E1" s="6" t="s">
        <v>3</v>
      </c>
      <c r="F1" s="6" t="s">
        <v>4</v>
      </c>
      <c r="G1" s="2" t="s">
        <v>13</v>
      </c>
      <c r="H1" s="2" t="s">
        <v>71</v>
      </c>
      <c r="I1" s="2" t="s">
        <v>25</v>
      </c>
      <c r="J1" s="6" t="s">
        <v>118</v>
      </c>
      <c r="M1" s="2">
        <v>0</v>
      </c>
    </row>
    <row r="2" spans="1:18" x14ac:dyDescent="0.25">
      <c r="E2" s="6"/>
      <c r="F2" s="6"/>
      <c r="H2" s="3"/>
      <c r="L2" s="5"/>
    </row>
    <row r="3" spans="1:18" x14ac:dyDescent="0.25">
      <c r="E3" s="6"/>
      <c r="F3" s="6"/>
      <c r="H3" s="3"/>
    </row>
    <row r="4" spans="1:18" x14ac:dyDescent="0.25">
      <c r="E4" s="6"/>
      <c r="F4" s="6"/>
      <c r="H4" s="3"/>
    </row>
    <row r="5" spans="1:18" x14ac:dyDescent="0.25">
      <c r="A5"/>
      <c r="B5"/>
      <c r="C5"/>
      <c r="D5"/>
      <c r="E5" s="6"/>
      <c r="F5" s="6"/>
      <c r="H5" s="3"/>
    </row>
    <row r="6" spans="1:18" x14ac:dyDescent="0.25">
      <c r="A6"/>
      <c r="B6"/>
      <c r="C6"/>
      <c r="D6"/>
      <c r="E6" s="6"/>
      <c r="F6" s="6"/>
      <c r="H6" s="3"/>
    </row>
    <row r="7" spans="1:18" x14ac:dyDescent="0.25">
      <c r="E7" s="6"/>
      <c r="F7" s="6"/>
      <c r="H7" s="3"/>
    </row>
    <row r="8" spans="1:18" x14ac:dyDescent="0.25">
      <c r="A8"/>
      <c r="B8"/>
      <c r="C8"/>
      <c r="D8"/>
      <c r="E8" s="6"/>
      <c r="F8" s="6"/>
      <c r="H8" s="3"/>
      <c r="R8" s="5"/>
    </row>
    <row r="9" spans="1:18" x14ac:dyDescent="0.25">
      <c r="E9" s="6"/>
      <c r="F9" s="6"/>
      <c r="H9" s="3"/>
    </row>
    <row r="10" spans="1:18" x14ac:dyDescent="0.25">
      <c r="A10"/>
      <c r="B10"/>
      <c r="C10"/>
      <c r="D10"/>
      <c r="E10" s="6"/>
      <c r="F10" s="6"/>
      <c r="H10" s="3"/>
      <c r="R10" s="5"/>
    </row>
    <row r="11" spans="1:18" x14ac:dyDescent="0.25">
      <c r="A11"/>
      <c r="B11"/>
      <c r="C11"/>
      <c r="D11"/>
      <c r="E11" s="6"/>
      <c r="F11" s="6"/>
      <c r="H11" s="3"/>
    </row>
    <row r="12" spans="1:18" x14ac:dyDescent="0.25">
      <c r="E12" s="6"/>
      <c r="F12" s="6"/>
      <c r="H12" s="3"/>
      <c r="L12" s="5"/>
    </row>
    <row r="13" spans="1:18" x14ac:dyDescent="0.25">
      <c r="E13" s="6"/>
      <c r="F13" s="6"/>
      <c r="H13" s="3"/>
    </row>
    <row r="14" spans="1:18" x14ac:dyDescent="0.25">
      <c r="A14"/>
      <c r="B14"/>
      <c r="C14"/>
      <c r="D14"/>
      <c r="E14" s="6"/>
      <c r="F14" s="6"/>
      <c r="H14" s="3"/>
    </row>
    <row r="15" spans="1:18" x14ac:dyDescent="0.25">
      <c r="A15"/>
      <c r="B15"/>
      <c r="C15"/>
      <c r="D15"/>
      <c r="E15" s="6"/>
      <c r="F15" s="6"/>
      <c r="H15" s="3"/>
    </row>
    <row r="16" spans="1:18" x14ac:dyDescent="0.25">
      <c r="A16"/>
      <c r="B16"/>
      <c r="C16"/>
      <c r="D16"/>
      <c r="E16" s="6"/>
      <c r="F16" s="6"/>
      <c r="H16" s="3"/>
    </row>
    <row r="17" spans="1:13" x14ac:dyDescent="0.25">
      <c r="E17" s="6"/>
      <c r="F17" s="6"/>
      <c r="H17" s="3"/>
    </row>
    <row r="18" spans="1:13" x14ac:dyDescent="0.25">
      <c r="A18"/>
      <c r="B18"/>
      <c r="C18"/>
      <c r="D18"/>
      <c r="E18" s="6"/>
      <c r="F18" s="6"/>
      <c r="H18" s="3"/>
    </row>
    <row r="19" spans="1:13" x14ac:dyDescent="0.25">
      <c r="E19" s="6"/>
      <c r="F19" s="6"/>
      <c r="H19" s="3"/>
    </row>
    <row r="20" spans="1:13" x14ac:dyDescent="0.25">
      <c r="A20"/>
      <c r="B20"/>
      <c r="C20"/>
      <c r="D20"/>
      <c r="E20" s="6"/>
      <c r="F20" s="6"/>
      <c r="H20" s="3"/>
    </row>
    <row r="21" spans="1:13" x14ac:dyDescent="0.25">
      <c r="A21"/>
      <c r="B21"/>
      <c r="C21"/>
      <c r="D21"/>
      <c r="E21" s="6"/>
      <c r="F21" s="6"/>
      <c r="H21" s="3"/>
    </row>
    <row r="22" spans="1:13" x14ac:dyDescent="0.25">
      <c r="E22" s="6"/>
      <c r="F22" s="6"/>
      <c r="H22" s="3"/>
      <c r="L22" s="5"/>
    </row>
    <row r="23" spans="1:13" x14ac:dyDescent="0.25">
      <c r="E23" s="6"/>
      <c r="F23" s="6"/>
      <c r="H23" s="3"/>
    </row>
    <row r="24" spans="1:13" x14ac:dyDescent="0.25">
      <c r="E24" s="6"/>
      <c r="F24" s="6"/>
      <c r="H24" s="3"/>
    </row>
    <row r="25" spans="1:13" x14ac:dyDescent="0.25">
      <c r="A25"/>
      <c r="B25"/>
      <c r="C25"/>
      <c r="D25"/>
      <c r="E25" s="6"/>
      <c r="F25" s="6"/>
      <c r="H25" s="3"/>
    </row>
    <row r="26" spans="1:13" x14ac:dyDescent="0.25">
      <c r="E26" s="6"/>
      <c r="F26" s="6"/>
      <c r="H26" s="3"/>
    </row>
    <row r="27" spans="1:13" x14ac:dyDescent="0.25">
      <c r="A27"/>
      <c r="B27"/>
      <c r="C27"/>
      <c r="D27"/>
      <c r="E27" s="6"/>
      <c r="F27" s="6"/>
      <c r="H27" s="3"/>
      <c r="M27" s="6"/>
    </row>
    <row r="28" spans="1:13" x14ac:dyDescent="0.25">
      <c r="E28" s="6"/>
      <c r="F28" s="6"/>
      <c r="H28" s="3"/>
    </row>
    <row r="29" spans="1:13" x14ac:dyDescent="0.25">
      <c r="A29"/>
      <c r="B29"/>
      <c r="C29"/>
      <c r="D29"/>
      <c r="E29" s="6"/>
      <c r="F29" s="6"/>
      <c r="H29" s="3"/>
    </row>
    <row r="30" spans="1:13" x14ac:dyDescent="0.25">
      <c r="A30"/>
      <c r="B30"/>
      <c r="C30"/>
      <c r="D30"/>
      <c r="E30" s="6"/>
      <c r="F30" s="6"/>
      <c r="H30" s="3"/>
    </row>
    <row r="31" spans="1:13" x14ac:dyDescent="0.25">
      <c r="E31" s="6"/>
      <c r="F31" s="6"/>
      <c r="H31" s="3"/>
    </row>
    <row r="32" spans="1:13" x14ac:dyDescent="0.25">
      <c r="E32" s="6"/>
      <c r="F32" s="6"/>
      <c r="H32" s="3"/>
    </row>
    <row r="33" spans="1:8" x14ac:dyDescent="0.25">
      <c r="A33"/>
      <c r="B33"/>
      <c r="C33"/>
      <c r="D33"/>
      <c r="E33" s="6"/>
      <c r="F33" s="6"/>
      <c r="H33" s="3"/>
    </row>
    <row r="34" spans="1:8" x14ac:dyDescent="0.25">
      <c r="A34"/>
      <c r="B34"/>
      <c r="C34"/>
      <c r="D34"/>
      <c r="E34" s="6"/>
      <c r="F34" s="6"/>
      <c r="H34" s="3"/>
    </row>
    <row r="35" spans="1:8" x14ac:dyDescent="0.25">
      <c r="E35" s="6"/>
      <c r="F35" s="6"/>
      <c r="H35" s="3"/>
    </row>
    <row r="36" spans="1:8" x14ac:dyDescent="0.25">
      <c r="E36" s="6"/>
      <c r="F36" s="6"/>
      <c r="H36" s="3"/>
    </row>
    <row r="37" spans="1:8" x14ac:dyDescent="0.25">
      <c r="A37"/>
      <c r="B37"/>
      <c r="C37"/>
      <c r="D37"/>
      <c r="E37" s="6"/>
      <c r="F37" s="6"/>
      <c r="H37" s="3"/>
    </row>
    <row r="38" spans="1:8" x14ac:dyDescent="0.25">
      <c r="A38"/>
      <c r="B38"/>
      <c r="C38"/>
      <c r="D38"/>
      <c r="E38" s="6"/>
      <c r="F38" s="6"/>
      <c r="H38" s="3"/>
    </row>
    <row r="39" spans="1:8" x14ac:dyDescent="0.25">
      <c r="A39"/>
      <c r="B39"/>
      <c r="C39"/>
      <c r="D39"/>
      <c r="E39" s="6"/>
      <c r="F39" s="6"/>
      <c r="H39" s="3"/>
    </row>
    <row r="40" spans="1:8" x14ac:dyDescent="0.25">
      <c r="A40"/>
      <c r="B40"/>
      <c r="C40"/>
      <c r="D40"/>
      <c r="E40" s="6"/>
      <c r="F40" s="6"/>
      <c r="H40" s="3"/>
    </row>
    <row r="41" spans="1:8" x14ac:dyDescent="0.25">
      <c r="A41"/>
      <c r="B41"/>
      <c r="C41"/>
      <c r="D41"/>
      <c r="E41" s="6"/>
      <c r="F41" s="6"/>
      <c r="H41" s="3"/>
    </row>
    <row r="42" spans="1:8" x14ac:dyDescent="0.25">
      <c r="A42"/>
      <c r="B42"/>
      <c r="C42"/>
      <c r="D42"/>
      <c r="E42" s="6"/>
      <c r="F42" s="6"/>
      <c r="H42" s="3"/>
    </row>
    <row r="43" spans="1:8" x14ac:dyDescent="0.25">
      <c r="A43"/>
      <c r="B43"/>
      <c r="C43"/>
      <c r="D43"/>
      <c r="E43" s="6"/>
      <c r="F43" s="6"/>
      <c r="H43" s="3"/>
    </row>
    <row r="44" spans="1:8" x14ac:dyDescent="0.25">
      <c r="A44"/>
      <c r="B44"/>
      <c r="C44"/>
      <c r="D44"/>
      <c r="E44" s="6"/>
      <c r="F44" s="6"/>
      <c r="H44" s="3"/>
    </row>
    <row r="45" spans="1:8" x14ac:dyDescent="0.25">
      <c r="A45"/>
      <c r="B45"/>
      <c r="C45"/>
      <c r="D45"/>
      <c r="E45" s="6"/>
      <c r="F45" s="6"/>
      <c r="H45" s="3"/>
    </row>
    <row r="46" spans="1:8" x14ac:dyDescent="0.25">
      <c r="E46" s="6"/>
      <c r="F46" s="6"/>
      <c r="H46" s="3"/>
    </row>
    <row r="47" spans="1:8" x14ac:dyDescent="0.25">
      <c r="A47"/>
      <c r="B47"/>
      <c r="C47"/>
      <c r="D47"/>
      <c r="E47" s="6"/>
      <c r="F47" s="6"/>
      <c r="H47" s="3"/>
    </row>
    <row r="48" spans="1:8" x14ac:dyDescent="0.25">
      <c r="A48"/>
      <c r="B48"/>
      <c r="C48"/>
      <c r="D48"/>
      <c r="E48" s="6"/>
      <c r="F48" s="6"/>
      <c r="H48" s="3"/>
    </row>
    <row r="49" spans="1:8" x14ac:dyDescent="0.25">
      <c r="E49" s="6"/>
      <c r="F49" s="6"/>
      <c r="H49" s="3"/>
    </row>
    <row r="50" spans="1:8" x14ac:dyDescent="0.25">
      <c r="A50"/>
      <c r="B50"/>
      <c r="C50"/>
      <c r="D50"/>
      <c r="E50" s="6"/>
      <c r="F50" s="6"/>
      <c r="H50" s="3"/>
    </row>
    <row r="51" spans="1:8" x14ac:dyDescent="0.25">
      <c r="A51"/>
      <c r="B51"/>
      <c r="C51"/>
      <c r="D51"/>
      <c r="E51" s="6"/>
      <c r="F51" s="6"/>
      <c r="H51" s="3"/>
    </row>
    <row r="52" spans="1:8" x14ac:dyDescent="0.25">
      <c r="E52" s="6"/>
      <c r="F52" s="6"/>
      <c r="H52" s="3"/>
    </row>
    <row r="53" spans="1:8" x14ac:dyDescent="0.25">
      <c r="E53" s="6"/>
      <c r="F53" s="6"/>
      <c r="H53" s="3"/>
    </row>
    <row r="54" spans="1:8" x14ac:dyDescent="0.25">
      <c r="E54" s="6"/>
      <c r="F54" s="6"/>
      <c r="H54" s="3"/>
    </row>
    <row r="55" spans="1:8" x14ac:dyDescent="0.25">
      <c r="E55" s="6"/>
      <c r="F55" s="6"/>
      <c r="H55" s="3"/>
    </row>
    <row r="56" spans="1:8" x14ac:dyDescent="0.25">
      <c r="A56"/>
      <c r="B56"/>
      <c r="C56"/>
      <c r="D56"/>
      <c r="E56" s="6"/>
      <c r="F56" s="6"/>
      <c r="H56" s="3"/>
    </row>
    <row r="57" spans="1:8" x14ac:dyDescent="0.25">
      <c r="E57" s="6"/>
      <c r="F57" s="6"/>
      <c r="H57" s="3"/>
    </row>
    <row r="58" spans="1:8" x14ac:dyDescent="0.25">
      <c r="A58"/>
      <c r="B58"/>
      <c r="C58"/>
      <c r="D58"/>
      <c r="E58" s="6"/>
      <c r="F58" s="6"/>
      <c r="H58" s="3"/>
    </row>
    <row r="59" spans="1:8" x14ac:dyDescent="0.25">
      <c r="E59" s="6"/>
      <c r="F59" s="6"/>
      <c r="H59" s="3"/>
    </row>
    <row r="60" spans="1:8" x14ac:dyDescent="0.25">
      <c r="E60" s="6"/>
      <c r="F60" s="6"/>
      <c r="H60" s="3"/>
    </row>
    <row r="61" spans="1:8" x14ac:dyDescent="0.25">
      <c r="A61"/>
      <c r="B61"/>
      <c r="C61"/>
      <c r="D61"/>
      <c r="E61" s="6"/>
      <c r="F61" s="6"/>
      <c r="H61" s="3"/>
    </row>
    <row r="62" spans="1:8" x14ac:dyDescent="0.25">
      <c r="E62" s="6"/>
      <c r="F62" s="6"/>
      <c r="H62" s="3"/>
    </row>
    <row r="63" spans="1:8" x14ac:dyDescent="0.25">
      <c r="A63"/>
      <c r="B63"/>
      <c r="C63"/>
      <c r="D63"/>
      <c r="E63" s="6"/>
      <c r="F63" s="6"/>
      <c r="H63" s="3"/>
    </row>
    <row r="64" spans="1:8" x14ac:dyDescent="0.25">
      <c r="E64" s="6"/>
      <c r="F64" s="6"/>
      <c r="H64" s="3"/>
    </row>
    <row r="65" spans="1:8" x14ac:dyDescent="0.25">
      <c r="E65" s="6"/>
      <c r="F65" s="6"/>
      <c r="H65" s="3"/>
    </row>
    <row r="66" spans="1:8" x14ac:dyDescent="0.25">
      <c r="E66" s="6"/>
      <c r="F66" s="6"/>
      <c r="H66" s="3"/>
    </row>
    <row r="67" spans="1:8" x14ac:dyDescent="0.25">
      <c r="E67" s="6"/>
      <c r="F67" s="6"/>
      <c r="H67" s="3"/>
    </row>
    <row r="68" spans="1:8" x14ac:dyDescent="0.25">
      <c r="A68"/>
      <c r="B68"/>
      <c r="C68"/>
      <c r="D68"/>
      <c r="E68" s="6"/>
      <c r="F68" s="6"/>
      <c r="H68" s="3"/>
    </row>
    <row r="69" spans="1:8" x14ac:dyDescent="0.25">
      <c r="E69" s="6"/>
      <c r="F69" s="6"/>
      <c r="H69" s="3"/>
    </row>
    <row r="70" spans="1:8" x14ac:dyDescent="0.25">
      <c r="E70" s="6"/>
      <c r="F70" s="6"/>
      <c r="H70" s="3"/>
    </row>
    <row r="71" spans="1:8" x14ac:dyDescent="0.25">
      <c r="E71" s="6"/>
      <c r="F71" s="6"/>
      <c r="H71" s="3"/>
    </row>
    <row r="72" spans="1:8" x14ac:dyDescent="0.25">
      <c r="E72" s="6"/>
      <c r="F72" s="6"/>
      <c r="H72" s="3"/>
    </row>
    <row r="73" spans="1:8" x14ac:dyDescent="0.25">
      <c r="E73" s="6"/>
      <c r="F73" s="6"/>
      <c r="H73" s="3"/>
    </row>
    <row r="74" spans="1:8" x14ac:dyDescent="0.25">
      <c r="E74" s="6"/>
      <c r="F74" s="6"/>
      <c r="H74" s="3"/>
    </row>
    <row r="75" spans="1:8" x14ac:dyDescent="0.25">
      <c r="A75"/>
      <c r="B75"/>
      <c r="C75"/>
      <c r="D75"/>
      <c r="E75" s="6"/>
      <c r="F75" s="6"/>
      <c r="H75" s="3"/>
    </row>
    <row r="76" spans="1:8" x14ac:dyDescent="0.25">
      <c r="A76"/>
      <c r="B76"/>
      <c r="C76"/>
      <c r="D76"/>
      <c r="E76" s="6"/>
      <c r="F76" s="6"/>
      <c r="H76" s="3"/>
    </row>
    <row r="77" spans="1:8" x14ac:dyDescent="0.25">
      <c r="E77" s="6"/>
      <c r="F77" s="6"/>
      <c r="H77" s="3"/>
    </row>
    <row r="78" spans="1:8" x14ac:dyDescent="0.25">
      <c r="E78" s="6"/>
      <c r="F78" s="6"/>
      <c r="H78" s="3"/>
    </row>
    <row r="79" spans="1:8" x14ac:dyDescent="0.25">
      <c r="E79" s="6"/>
      <c r="F79" s="6"/>
      <c r="H79" s="3"/>
    </row>
    <row r="80" spans="1:8" x14ac:dyDescent="0.25">
      <c r="E80" s="6"/>
      <c r="F80" s="6"/>
      <c r="H80" s="3"/>
    </row>
    <row r="81" spans="1:8" x14ac:dyDescent="0.25">
      <c r="A81"/>
      <c r="B81"/>
      <c r="C81"/>
      <c r="D81"/>
      <c r="E81" s="6"/>
      <c r="F81" s="6"/>
      <c r="H81" s="3"/>
    </row>
    <row r="82" spans="1:8" x14ac:dyDescent="0.25">
      <c r="A82"/>
      <c r="B82"/>
      <c r="C82"/>
      <c r="D82"/>
      <c r="E82" s="6"/>
      <c r="F82" s="6"/>
      <c r="H82" s="3"/>
    </row>
    <row r="83" spans="1:8" x14ac:dyDescent="0.25">
      <c r="E83" s="6"/>
      <c r="F83" s="6"/>
      <c r="H83" s="3"/>
    </row>
    <row r="84" spans="1:8" x14ac:dyDescent="0.25">
      <c r="E84" s="6"/>
      <c r="F84" s="6"/>
      <c r="H84" s="3"/>
    </row>
    <row r="85" spans="1:8" x14ac:dyDescent="0.25">
      <c r="E85" s="6"/>
      <c r="F85" s="6"/>
      <c r="H85" s="3"/>
    </row>
    <row r="86" spans="1:8" x14ac:dyDescent="0.25">
      <c r="E86" s="6"/>
      <c r="F86" s="6"/>
      <c r="H86" s="3"/>
    </row>
    <row r="87" spans="1:8" x14ac:dyDescent="0.25">
      <c r="A87"/>
      <c r="B87"/>
      <c r="C87"/>
      <c r="D87"/>
      <c r="E87" s="6"/>
      <c r="F87" s="6"/>
      <c r="H87" s="3"/>
    </row>
    <row r="88" spans="1:8" x14ac:dyDescent="0.25">
      <c r="E88" s="6"/>
      <c r="F88" s="6"/>
      <c r="H88" s="3"/>
    </row>
    <row r="89" spans="1:8" x14ac:dyDescent="0.25">
      <c r="E89" s="6"/>
      <c r="F89" s="6"/>
      <c r="H89" s="3"/>
    </row>
    <row r="90" spans="1:8" x14ac:dyDescent="0.25">
      <c r="E90" s="6"/>
      <c r="F90" s="6"/>
      <c r="H90" s="3"/>
    </row>
    <row r="91" spans="1:8" x14ac:dyDescent="0.25">
      <c r="A91"/>
      <c r="B91"/>
      <c r="C91"/>
      <c r="D91"/>
      <c r="E91" s="6"/>
      <c r="F91" s="6"/>
      <c r="H91" s="3"/>
    </row>
    <row r="92" spans="1:8" x14ac:dyDescent="0.25">
      <c r="E92" s="6"/>
      <c r="F92" s="6"/>
      <c r="H92" s="3"/>
    </row>
    <row r="93" spans="1:8" x14ac:dyDescent="0.25">
      <c r="E93" s="6"/>
      <c r="F93" s="6"/>
      <c r="H93" s="3"/>
    </row>
    <row r="94" spans="1:8" x14ac:dyDescent="0.25">
      <c r="E94" s="6"/>
      <c r="F94" s="6"/>
      <c r="H94" s="3"/>
    </row>
    <row r="95" spans="1:8" x14ac:dyDescent="0.25">
      <c r="A95"/>
      <c r="B95"/>
      <c r="C95"/>
      <c r="D95"/>
      <c r="E95" s="6"/>
      <c r="F95" s="6"/>
      <c r="H95" s="3"/>
    </row>
    <row r="96" spans="1:8" x14ac:dyDescent="0.25">
      <c r="E96" s="6"/>
      <c r="F96" s="6"/>
      <c r="H96" s="3"/>
    </row>
    <row r="97" spans="1:8" x14ac:dyDescent="0.25">
      <c r="A97"/>
      <c r="B97"/>
      <c r="C97"/>
      <c r="D97"/>
      <c r="E97" s="6"/>
      <c r="F97" s="6"/>
      <c r="H97" s="3"/>
    </row>
    <row r="98" spans="1:8" x14ac:dyDescent="0.25">
      <c r="E98" s="6"/>
      <c r="F98" s="6"/>
      <c r="H98" s="3"/>
    </row>
    <row r="99" spans="1:8" x14ac:dyDescent="0.25">
      <c r="A99"/>
      <c r="B99"/>
      <c r="C99"/>
      <c r="D99"/>
      <c r="E99" s="6"/>
      <c r="F99" s="6"/>
      <c r="H99" s="3"/>
    </row>
    <row r="100" spans="1:8" x14ac:dyDescent="0.25">
      <c r="E100" s="6"/>
      <c r="F100" s="6"/>
      <c r="H100" s="3"/>
    </row>
    <row r="101" spans="1:8" x14ac:dyDescent="0.25">
      <c r="E101" s="6"/>
      <c r="F101" s="6"/>
      <c r="H101" s="3"/>
    </row>
    <row r="102" spans="1:8" x14ac:dyDescent="0.25">
      <c r="A102"/>
      <c r="B102"/>
      <c r="C102"/>
      <c r="D102"/>
      <c r="E102" s="6"/>
      <c r="F102" s="6"/>
      <c r="H102" s="3"/>
    </row>
    <row r="103" spans="1:8" x14ac:dyDescent="0.25">
      <c r="E103" s="6"/>
      <c r="F103" s="6"/>
      <c r="H103" s="3"/>
    </row>
    <row r="104" spans="1:8" x14ac:dyDescent="0.25">
      <c r="A104"/>
      <c r="B104"/>
      <c r="C104"/>
      <c r="D104"/>
      <c r="E104" s="6"/>
      <c r="F104" s="6"/>
      <c r="H104" s="3"/>
    </row>
    <row r="105" spans="1:8" x14ac:dyDescent="0.25">
      <c r="A105"/>
      <c r="B105"/>
      <c r="C105"/>
      <c r="D105"/>
      <c r="E105" s="6"/>
      <c r="F105" s="6"/>
      <c r="H105" s="3"/>
    </row>
    <row r="107" spans="1:8" x14ac:dyDescent="0.25">
      <c r="E107" s="6"/>
      <c r="F107" s="6"/>
      <c r="H107" s="3"/>
    </row>
    <row r="108" spans="1:8" x14ac:dyDescent="0.25">
      <c r="E108" s="6"/>
      <c r="F108" s="6"/>
      <c r="H108" s="3"/>
    </row>
    <row r="109" spans="1:8" x14ac:dyDescent="0.25">
      <c r="E109" s="6"/>
      <c r="F109" s="6"/>
      <c r="H109" s="3"/>
    </row>
    <row r="110" spans="1:8" x14ac:dyDescent="0.25">
      <c r="E110" s="6"/>
      <c r="F110" s="6"/>
      <c r="H110" s="3"/>
    </row>
    <row r="111" spans="1:8" x14ac:dyDescent="0.25">
      <c r="A111"/>
      <c r="B111"/>
      <c r="C111"/>
      <c r="D111"/>
      <c r="E111" s="6"/>
      <c r="F111" s="6"/>
      <c r="H111" s="3"/>
    </row>
    <row r="112" spans="1:8" x14ac:dyDescent="0.25">
      <c r="A112"/>
      <c r="B112"/>
      <c r="C112"/>
      <c r="D112"/>
      <c r="E112" s="6"/>
      <c r="F112" s="6"/>
      <c r="H112" s="3"/>
    </row>
    <row r="113" spans="1:8" x14ac:dyDescent="0.25">
      <c r="E113" s="6"/>
      <c r="F113" s="6"/>
      <c r="H113" s="3"/>
    </row>
    <row r="117" spans="1:8" x14ac:dyDescent="0.25">
      <c r="A117"/>
      <c r="B117"/>
      <c r="C117"/>
      <c r="D117"/>
      <c r="E117" s="6"/>
      <c r="F117" s="6"/>
      <c r="H117" s="3"/>
    </row>
    <row r="119" spans="1:8" x14ac:dyDescent="0.25">
      <c r="E119" s="6"/>
      <c r="F119" s="6"/>
      <c r="H119" s="3"/>
    </row>
    <row r="120" spans="1:8" x14ac:dyDescent="0.25">
      <c r="E120" s="6"/>
      <c r="F120" s="6"/>
      <c r="H120" s="3"/>
    </row>
    <row r="121" spans="1:8" x14ac:dyDescent="0.25">
      <c r="E121" s="6"/>
      <c r="F121" s="6"/>
      <c r="H121" s="3"/>
    </row>
    <row r="123" spans="1:8" x14ac:dyDescent="0.25">
      <c r="E123" s="6"/>
      <c r="F123" s="6"/>
      <c r="H123" s="3"/>
    </row>
    <row r="124" spans="1:8" x14ac:dyDescent="0.25">
      <c r="E124" s="6"/>
      <c r="F124" s="6"/>
      <c r="H124" s="3"/>
    </row>
    <row r="127" spans="1:8" x14ac:dyDescent="0.25">
      <c r="E127" s="6"/>
      <c r="F127" s="6"/>
      <c r="H127" s="3"/>
    </row>
    <row r="128" spans="1:8" x14ac:dyDescent="0.25">
      <c r="E128" s="6"/>
      <c r="F128" s="6"/>
      <c r="H128" s="3"/>
    </row>
    <row r="129" spans="1:8" x14ac:dyDescent="0.25">
      <c r="E129" s="6"/>
      <c r="F129" s="6"/>
      <c r="H129" s="3"/>
    </row>
    <row r="130" spans="1:8" x14ac:dyDescent="0.25">
      <c r="A130"/>
      <c r="B130"/>
      <c r="C130"/>
      <c r="D130"/>
      <c r="E130" s="6"/>
      <c r="F130" s="6"/>
      <c r="H130" s="3"/>
    </row>
    <row r="131" spans="1:8" x14ac:dyDescent="0.25">
      <c r="E131" s="6"/>
      <c r="F131" s="6"/>
      <c r="H131" s="3"/>
    </row>
    <row r="134" spans="1:8" x14ac:dyDescent="0.25">
      <c r="E134" s="6"/>
      <c r="F134" s="6"/>
      <c r="H134" s="3"/>
    </row>
    <row r="135" spans="1:8" x14ac:dyDescent="0.25">
      <c r="A135"/>
      <c r="B135"/>
      <c r="C135"/>
      <c r="D135"/>
      <c r="E135" s="6"/>
      <c r="F135" s="6"/>
      <c r="H135" s="3"/>
    </row>
    <row r="136" spans="1:8" x14ac:dyDescent="0.25">
      <c r="A136"/>
      <c r="B136"/>
      <c r="C136"/>
      <c r="D136"/>
      <c r="E136" s="6"/>
      <c r="F136" s="6"/>
      <c r="H136" s="3"/>
    </row>
    <row r="137" spans="1:8" x14ac:dyDescent="0.25">
      <c r="E137" s="6"/>
      <c r="F137" s="6"/>
      <c r="H137" s="3"/>
    </row>
    <row r="138" spans="1:8" x14ac:dyDescent="0.25">
      <c r="E138" s="6"/>
      <c r="F138" s="6"/>
      <c r="H138" s="3"/>
    </row>
    <row r="139" spans="1:8" x14ac:dyDescent="0.25">
      <c r="E139" s="6"/>
      <c r="F139" s="6"/>
      <c r="H139" s="3"/>
    </row>
    <row r="140" spans="1:8" x14ac:dyDescent="0.25">
      <c r="E140" s="6"/>
      <c r="F140" s="6"/>
      <c r="H140" s="3"/>
    </row>
    <row r="141" spans="1:8" x14ac:dyDescent="0.25">
      <c r="A141"/>
      <c r="B141"/>
      <c r="C141"/>
      <c r="D141"/>
      <c r="E141" s="6"/>
      <c r="F141" s="6"/>
      <c r="H141" s="3"/>
    </row>
    <row r="142" spans="1:8" x14ac:dyDescent="0.25">
      <c r="A142"/>
      <c r="B142"/>
      <c r="C142"/>
      <c r="D142"/>
      <c r="E142" s="6"/>
      <c r="F142" s="6"/>
      <c r="H142" s="3"/>
    </row>
    <row r="143" spans="1:8" x14ac:dyDescent="0.25">
      <c r="A143"/>
      <c r="B143"/>
      <c r="C143"/>
      <c r="D143"/>
      <c r="E143" s="6"/>
      <c r="F143" s="6"/>
      <c r="H143" s="3"/>
    </row>
    <row r="144" spans="1:8" x14ac:dyDescent="0.25">
      <c r="A144"/>
      <c r="B144"/>
      <c r="C144"/>
      <c r="D144"/>
      <c r="E144" s="6"/>
      <c r="F144" s="6"/>
      <c r="H144" s="3"/>
    </row>
    <row r="145" spans="1:8" x14ac:dyDescent="0.25">
      <c r="A145"/>
      <c r="B145"/>
      <c r="C145"/>
      <c r="D145"/>
      <c r="E145" s="6"/>
      <c r="F145" s="6"/>
      <c r="H145" s="3"/>
    </row>
    <row r="146" spans="1:8" x14ac:dyDescent="0.25">
      <c r="A146"/>
      <c r="B146"/>
      <c r="C146"/>
      <c r="D146"/>
      <c r="E146" s="6"/>
      <c r="F146" s="6"/>
      <c r="H146" s="3"/>
    </row>
    <row r="147" spans="1:8" x14ac:dyDescent="0.25">
      <c r="A147"/>
      <c r="B147"/>
      <c r="C147"/>
      <c r="D147"/>
      <c r="E147" s="6"/>
      <c r="F147" s="6"/>
      <c r="H147" s="3"/>
    </row>
    <row r="148" spans="1:8" x14ac:dyDescent="0.25">
      <c r="A148"/>
      <c r="B148"/>
      <c r="C148"/>
      <c r="D148"/>
      <c r="E148" s="6"/>
      <c r="F148" s="6"/>
      <c r="H148" s="3"/>
    </row>
    <row r="149" spans="1:8" x14ac:dyDescent="0.25">
      <c r="A149"/>
      <c r="B149"/>
      <c r="C149"/>
      <c r="D149"/>
      <c r="E149" s="6"/>
      <c r="F149" s="6"/>
      <c r="H149" s="3"/>
    </row>
    <row r="150" spans="1:8" x14ac:dyDescent="0.25">
      <c r="A150"/>
      <c r="B150"/>
      <c r="C150"/>
      <c r="D150"/>
      <c r="E150" s="6"/>
      <c r="F150" s="6"/>
      <c r="H150" s="3"/>
    </row>
    <row r="151" spans="1:8" x14ac:dyDescent="0.25">
      <c r="A151"/>
      <c r="B151"/>
      <c r="C151"/>
      <c r="D151"/>
      <c r="E151" s="6"/>
      <c r="F151" s="6"/>
      <c r="H151" s="3"/>
    </row>
    <row r="152" spans="1:8" x14ac:dyDescent="0.25">
      <c r="A152"/>
      <c r="B152"/>
      <c r="C152"/>
      <c r="D152"/>
      <c r="E152" s="6"/>
      <c r="F152" s="6"/>
      <c r="H152" s="3"/>
    </row>
    <row r="153" spans="1:8" x14ac:dyDescent="0.25">
      <c r="A153"/>
      <c r="B153"/>
      <c r="C153"/>
      <c r="D153"/>
      <c r="E153" s="6"/>
      <c r="F153" s="6"/>
      <c r="H153" s="3"/>
    </row>
    <row r="154" spans="1:8" x14ac:dyDescent="0.25">
      <c r="A154"/>
      <c r="B154"/>
      <c r="C154"/>
      <c r="D154"/>
      <c r="E154" s="6"/>
      <c r="F154" s="6"/>
      <c r="H154" s="3"/>
    </row>
    <row r="155" spans="1:8" x14ac:dyDescent="0.25">
      <c r="A155"/>
      <c r="B155"/>
      <c r="C155"/>
      <c r="D155"/>
      <c r="E155" s="6"/>
      <c r="F155" s="6"/>
      <c r="H155" s="3"/>
    </row>
    <row r="156" spans="1:8" x14ac:dyDescent="0.25">
      <c r="A156"/>
      <c r="B156"/>
      <c r="C156"/>
      <c r="D156"/>
      <c r="E156" s="6"/>
      <c r="F156" s="6"/>
      <c r="H156" s="3"/>
    </row>
    <row r="157" spans="1:8" x14ac:dyDescent="0.25">
      <c r="A157"/>
      <c r="B157"/>
      <c r="C157"/>
      <c r="D157"/>
      <c r="E157" s="6"/>
      <c r="F157" s="6"/>
      <c r="H157" s="3"/>
    </row>
    <row r="158" spans="1:8" x14ac:dyDescent="0.25">
      <c r="A158"/>
      <c r="B158"/>
      <c r="C158"/>
      <c r="D158"/>
      <c r="E158" s="6"/>
      <c r="F158" s="6"/>
      <c r="H158" s="3"/>
    </row>
    <row r="159" spans="1:8" x14ac:dyDescent="0.25">
      <c r="A159"/>
      <c r="B159"/>
      <c r="C159"/>
      <c r="D159"/>
      <c r="E159" s="6"/>
      <c r="F159" s="6"/>
      <c r="H159" s="3"/>
    </row>
    <row r="160" spans="1:8" x14ac:dyDescent="0.25">
      <c r="A160"/>
      <c r="B160"/>
      <c r="C160"/>
      <c r="D160"/>
      <c r="E160" s="6"/>
      <c r="F160" s="6"/>
      <c r="H160" s="3"/>
    </row>
    <row r="161" spans="1:8" x14ac:dyDescent="0.25">
      <c r="A161"/>
      <c r="B161"/>
      <c r="C161"/>
      <c r="D161"/>
      <c r="E161" s="6"/>
      <c r="F161" s="6"/>
      <c r="H161" s="3"/>
    </row>
    <row r="162" spans="1:8" x14ac:dyDescent="0.25">
      <c r="A162"/>
      <c r="B162"/>
      <c r="C162"/>
      <c r="D162"/>
      <c r="E162" s="6"/>
      <c r="F162" s="6"/>
      <c r="H162" s="3"/>
    </row>
    <row r="163" spans="1:8" x14ac:dyDescent="0.25">
      <c r="A163"/>
      <c r="B163"/>
      <c r="C163"/>
      <c r="D163"/>
      <c r="E163" s="6"/>
      <c r="F163" s="6"/>
      <c r="H163" s="3"/>
    </row>
    <row r="164" spans="1:8" x14ac:dyDescent="0.25">
      <c r="A164"/>
      <c r="B164"/>
      <c r="C164"/>
      <c r="D164"/>
      <c r="E164" s="6"/>
      <c r="F164" s="6"/>
      <c r="H164" s="3"/>
    </row>
    <row r="165" spans="1:8" x14ac:dyDescent="0.25">
      <c r="A165"/>
      <c r="B165"/>
      <c r="C165"/>
      <c r="D165"/>
      <c r="E165" s="6"/>
      <c r="F165" s="6"/>
      <c r="H165" s="3"/>
    </row>
    <row r="166" spans="1:8" x14ac:dyDescent="0.25">
      <c r="A166"/>
      <c r="B166"/>
      <c r="C166"/>
      <c r="D166"/>
      <c r="E166" s="6"/>
      <c r="F166" s="6"/>
      <c r="H166" s="3"/>
    </row>
    <row r="167" spans="1:8" x14ac:dyDescent="0.25">
      <c r="A167"/>
      <c r="B167"/>
      <c r="C167"/>
      <c r="D167"/>
      <c r="E167" s="6"/>
      <c r="F167" s="6"/>
      <c r="H167" s="3"/>
    </row>
    <row r="168" spans="1:8" x14ac:dyDescent="0.25">
      <c r="A168"/>
      <c r="B168"/>
      <c r="C168"/>
      <c r="D168"/>
      <c r="E168" s="6"/>
      <c r="F168" s="6"/>
      <c r="H168" s="3"/>
    </row>
    <row r="169" spans="1:8" x14ac:dyDescent="0.25">
      <c r="A169"/>
      <c r="B169"/>
      <c r="C169"/>
      <c r="D169"/>
      <c r="E169" s="6"/>
      <c r="F169" s="6"/>
      <c r="H169" s="3"/>
    </row>
    <row r="170" spans="1:8" x14ac:dyDescent="0.25">
      <c r="A170"/>
      <c r="B170"/>
      <c r="C170"/>
      <c r="D170"/>
      <c r="E170" s="6"/>
      <c r="F170" s="6"/>
      <c r="H170" s="3"/>
    </row>
    <row r="171" spans="1:8" x14ac:dyDescent="0.25">
      <c r="A171"/>
      <c r="B171"/>
      <c r="C171"/>
      <c r="D171"/>
      <c r="E171" s="6"/>
      <c r="F171" s="6"/>
      <c r="H171" s="3"/>
    </row>
    <row r="172" spans="1:8" x14ac:dyDescent="0.25">
      <c r="A172"/>
      <c r="B172"/>
      <c r="C172"/>
      <c r="D172"/>
      <c r="E172" s="6"/>
      <c r="F172" s="6"/>
      <c r="H172" s="3"/>
    </row>
    <row r="173" spans="1:8" x14ac:dyDescent="0.25">
      <c r="A173"/>
      <c r="B173"/>
      <c r="C173"/>
      <c r="D173"/>
      <c r="E173" s="6"/>
      <c r="F173" s="6"/>
      <c r="H173" s="3"/>
    </row>
    <row r="174" spans="1:8" x14ac:dyDescent="0.25">
      <c r="A174"/>
      <c r="B174"/>
      <c r="C174"/>
      <c r="D174"/>
      <c r="E174" s="6"/>
      <c r="F174" s="6"/>
      <c r="H174" s="3"/>
    </row>
    <row r="175" spans="1:8" x14ac:dyDescent="0.25">
      <c r="A175"/>
      <c r="B175"/>
      <c r="C175"/>
      <c r="D175"/>
      <c r="E175" s="6"/>
      <c r="F175" s="6"/>
      <c r="H175" s="3"/>
    </row>
    <row r="176" spans="1:8" x14ac:dyDescent="0.25">
      <c r="A176"/>
      <c r="B176"/>
      <c r="C176"/>
      <c r="D176"/>
      <c r="E176" s="6"/>
      <c r="F176" s="6"/>
      <c r="H176" s="3"/>
    </row>
    <row r="177" spans="1:8" x14ac:dyDescent="0.25">
      <c r="A177"/>
      <c r="B177"/>
      <c r="C177"/>
      <c r="D177"/>
      <c r="E177" s="6"/>
      <c r="F177" s="6"/>
      <c r="H177" s="3"/>
    </row>
    <row r="178" spans="1:8" x14ac:dyDescent="0.25">
      <c r="A178"/>
      <c r="B178"/>
      <c r="C178"/>
      <c r="D178"/>
      <c r="E178" s="6"/>
      <c r="F178" s="6"/>
      <c r="H178" s="3"/>
    </row>
    <row r="179" spans="1:8" x14ac:dyDescent="0.25">
      <c r="A179"/>
      <c r="B179"/>
      <c r="C179"/>
      <c r="D179"/>
      <c r="E179" s="6"/>
      <c r="F179" s="6"/>
      <c r="H179" s="3"/>
    </row>
    <row r="180" spans="1:8" x14ac:dyDescent="0.25">
      <c r="A180"/>
      <c r="B180"/>
      <c r="C180"/>
      <c r="D180"/>
      <c r="E180" s="6"/>
      <c r="F180" s="6"/>
      <c r="H180" s="3"/>
    </row>
    <row r="181" spans="1:8" x14ac:dyDescent="0.25">
      <c r="A181"/>
      <c r="B181"/>
      <c r="C181"/>
      <c r="D181"/>
      <c r="E181" s="6"/>
      <c r="F181" s="6"/>
      <c r="H181" s="3"/>
    </row>
    <row r="182" spans="1:8" x14ac:dyDescent="0.25">
      <c r="A182"/>
      <c r="B182"/>
      <c r="C182"/>
      <c r="D182"/>
      <c r="E182" s="6"/>
      <c r="F182" s="6"/>
      <c r="H182" s="3"/>
    </row>
    <row r="183" spans="1:8" x14ac:dyDescent="0.25">
      <c r="A183"/>
      <c r="B183"/>
      <c r="C183"/>
      <c r="D183"/>
      <c r="E183" s="6"/>
      <c r="F183" s="6"/>
      <c r="H183" s="3"/>
    </row>
    <row r="184" spans="1:8" x14ac:dyDescent="0.25">
      <c r="A184"/>
      <c r="B184"/>
      <c r="C184"/>
      <c r="D184"/>
      <c r="E184" s="6"/>
      <c r="F184" s="6"/>
      <c r="H184" s="3"/>
    </row>
    <row r="185" spans="1:8" x14ac:dyDescent="0.25">
      <c r="A185"/>
      <c r="B185"/>
      <c r="C185"/>
      <c r="D185"/>
      <c r="E185" s="6"/>
      <c r="F185" s="6"/>
      <c r="H185" s="3"/>
    </row>
    <row r="186" spans="1:8" x14ac:dyDescent="0.25">
      <c r="A186"/>
      <c r="B186"/>
      <c r="C186"/>
      <c r="D186"/>
      <c r="E186" s="6"/>
      <c r="F186" s="6"/>
      <c r="H186" s="3"/>
    </row>
    <row r="187" spans="1:8" x14ac:dyDescent="0.25">
      <c r="A187"/>
      <c r="B187"/>
      <c r="C187"/>
      <c r="D187"/>
      <c r="E187" s="6"/>
      <c r="F187" s="6"/>
      <c r="H187" s="3"/>
    </row>
    <row r="188" spans="1:8" x14ac:dyDescent="0.25">
      <c r="A188"/>
      <c r="B188"/>
      <c r="C188"/>
      <c r="D188"/>
      <c r="E188" s="6"/>
      <c r="F188" s="6"/>
      <c r="H188" s="3"/>
    </row>
    <row r="189" spans="1:8" x14ac:dyDescent="0.25">
      <c r="A189"/>
      <c r="B189"/>
      <c r="C189"/>
      <c r="D189"/>
      <c r="E189" s="6"/>
      <c r="F189" s="6"/>
      <c r="H189" s="3"/>
    </row>
    <row r="190" spans="1:8" x14ac:dyDescent="0.25">
      <c r="A190"/>
      <c r="B190"/>
      <c r="C190"/>
      <c r="D190"/>
      <c r="E190" s="6"/>
      <c r="F190" s="6"/>
      <c r="H190" s="3"/>
    </row>
    <row r="191" spans="1:8" x14ac:dyDescent="0.25">
      <c r="A191"/>
      <c r="B191"/>
      <c r="C191"/>
      <c r="D191"/>
      <c r="E191" s="6"/>
      <c r="F191" s="6"/>
      <c r="H191" s="3"/>
    </row>
    <row r="192" spans="1:8" x14ac:dyDescent="0.25">
      <c r="A192"/>
      <c r="B192"/>
      <c r="C192"/>
      <c r="D192"/>
      <c r="E192" s="6"/>
      <c r="F192" s="6"/>
      <c r="H192" s="3"/>
    </row>
    <row r="193" spans="1:8" x14ac:dyDescent="0.25">
      <c r="A193"/>
      <c r="B193"/>
      <c r="C193"/>
      <c r="D193"/>
      <c r="E193" s="6"/>
      <c r="F193" s="6"/>
      <c r="H193" s="3"/>
    </row>
    <row r="194" spans="1:8" x14ac:dyDescent="0.25">
      <c r="A194"/>
      <c r="B194"/>
      <c r="C194"/>
      <c r="D194"/>
      <c r="E194" s="6"/>
      <c r="F194" s="6"/>
      <c r="H194" s="3"/>
    </row>
    <row r="195" spans="1:8" x14ac:dyDescent="0.25">
      <c r="A195"/>
      <c r="B195"/>
      <c r="C195"/>
      <c r="D195"/>
      <c r="E195" s="6"/>
      <c r="F195" s="6"/>
      <c r="H195" s="3"/>
    </row>
    <row r="196" spans="1:8" x14ac:dyDescent="0.25">
      <c r="A196"/>
      <c r="B196"/>
      <c r="C196"/>
      <c r="D196"/>
      <c r="E196" s="6"/>
      <c r="F196" s="6"/>
      <c r="H196" s="3"/>
    </row>
    <row r="197" spans="1:8" x14ac:dyDescent="0.25">
      <c r="A197"/>
      <c r="B197"/>
      <c r="C197"/>
      <c r="D197"/>
      <c r="E197" s="6"/>
      <c r="F197" s="6"/>
      <c r="H197" s="3"/>
    </row>
    <row r="198" spans="1:8" x14ac:dyDescent="0.25">
      <c r="A198"/>
      <c r="B198"/>
      <c r="C198"/>
      <c r="D198"/>
      <c r="E198" s="6"/>
      <c r="F198" s="6"/>
      <c r="H198" s="3"/>
    </row>
    <row r="199" spans="1:8" x14ac:dyDescent="0.25">
      <c r="A199"/>
      <c r="B199"/>
      <c r="C199"/>
      <c r="D199"/>
      <c r="E199" s="6"/>
      <c r="F199" s="6"/>
      <c r="H199" s="3"/>
    </row>
    <row r="200" spans="1:8" x14ac:dyDescent="0.25">
      <c r="A200"/>
      <c r="B200"/>
      <c r="C200"/>
      <c r="D200"/>
      <c r="E200" s="6"/>
      <c r="F200" s="6"/>
      <c r="H200" s="3"/>
    </row>
    <row r="201" spans="1:8" x14ac:dyDescent="0.25">
      <c r="A201"/>
      <c r="B201"/>
      <c r="C201"/>
      <c r="D201"/>
      <c r="E201" s="6"/>
      <c r="F201" s="6"/>
      <c r="H201" s="3"/>
    </row>
    <row r="202" spans="1:8" x14ac:dyDescent="0.25">
      <c r="A202"/>
      <c r="B202"/>
      <c r="C202"/>
      <c r="D202"/>
      <c r="E202" s="6"/>
      <c r="F202" s="6"/>
      <c r="H202" s="3"/>
    </row>
    <row r="203" spans="1:8" x14ac:dyDescent="0.25">
      <c r="A203"/>
      <c r="B203"/>
      <c r="C203"/>
      <c r="D203"/>
      <c r="E203" s="6"/>
      <c r="F203" s="6"/>
      <c r="H203" s="3"/>
    </row>
    <row r="204" spans="1:8" x14ac:dyDescent="0.25">
      <c r="E204" s="6"/>
      <c r="F204" s="6"/>
      <c r="H204" s="3"/>
    </row>
    <row r="205" spans="1:8" x14ac:dyDescent="0.25">
      <c r="E205" s="6"/>
      <c r="F205" s="6"/>
      <c r="H205" s="3"/>
    </row>
    <row r="206" spans="1:8" x14ac:dyDescent="0.25">
      <c r="E206" s="6"/>
      <c r="F206" s="6"/>
      <c r="H206" s="3"/>
    </row>
    <row r="207" spans="1:8" x14ac:dyDescent="0.25">
      <c r="E207" s="6"/>
      <c r="F207" s="6"/>
      <c r="H207" s="3"/>
    </row>
    <row r="210" spans="5:8" x14ac:dyDescent="0.25">
      <c r="E210" s="6"/>
      <c r="F210" s="6"/>
      <c r="H210" s="3"/>
    </row>
    <row r="211" spans="5:8" x14ac:dyDescent="0.25">
      <c r="E211" s="6"/>
      <c r="F211" s="6"/>
      <c r="H211" s="3"/>
    </row>
    <row r="212" spans="5:8" x14ac:dyDescent="0.25">
      <c r="E212" s="6"/>
      <c r="F212" s="6"/>
      <c r="H212" s="3"/>
    </row>
    <row r="213" spans="5:8" x14ac:dyDescent="0.25">
      <c r="E213" s="6"/>
      <c r="F213" s="6"/>
      <c r="H213" s="3"/>
    </row>
    <row r="214" spans="5:8" x14ac:dyDescent="0.25">
      <c r="E214" s="6"/>
      <c r="F214" s="6"/>
      <c r="H214" s="3"/>
    </row>
    <row r="215" spans="5:8" x14ac:dyDescent="0.25">
      <c r="E215" s="6"/>
      <c r="F215" s="6"/>
      <c r="H215" s="3"/>
    </row>
    <row r="216" spans="5:8" x14ac:dyDescent="0.25">
      <c r="E216" s="6"/>
      <c r="F216" s="6"/>
      <c r="H216" s="3"/>
    </row>
    <row r="217" spans="5:8" x14ac:dyDescent="0.25">
      <c r="E217" s="6"/>
      <c r="F217" s="6"/>
      <c r="H217" s="3"/>
    </row>
    <row r="219" spans="5:8" x14ac:dyDescent="0.25">
      <c r="E219" s="6"/>
      <c r="F219" s="6"/>
      <c r="H219" s="3"/>
    </row>
    <row r="220" spans="5:8" x14ac:dyDescent="0.25">
      <c r="E220" s="6"/>
      <c r="F220" s="6"/>
      <c r="H220" s="3"/>
    </row>
    <row r="221" spans="5:8" x14ac:dyDescent="0.25">
      <c r="E221" s="6"/>
      <c r="F221" s="6"/>
      <c r="H221" s="3"/>
    </row>
    <row r="222" spans="5:8" x14ac:dyDescent="0.25">
      <c r="E222" s="6"/>
      <c r="F222" s="6"/>
      <c r="H222" s="3"/>
    </row>
    <row r="223" spans="5:8" x14ac:dyDescent="0.25">
      <c r="E223" s="6"/>
      <c r="F223" s="6"/>
      <c r="H223" s="3"/>
    </row>
    <row r="224" spans="5:8" x14ac:dyDescent="0.25">
      <c r="E224" s="6"/>
      <c r="F224" s="6"/>
      <c r="H224" s="3"/>
    </row>
    <row r="225" spans="5:8" x14ac:dyDescent="0.25">
      <c r="E225" s="6"/>
      <c r="F225" s="6"/>
      <c r="H225" s="3"/>
    </row>
    <row r="226" spans="5:8" x14ac:dyDescent="0.25">
      <c r="E226" s="6"/>
      <c r="F226" s="6"/>
      <c r="H226" s="3"/>
    </row>
    <row r="227" spans="5:8" x14ac:dyDescent="0.25">
      <c r="E227" s="6"/>
      <c r="F227" s="6"/>
      <c r="H227" s="3"/>
    </row>
    <row r="228" spans="5:8" x14ac:dyDescent="0.25">
      <c r="E228" s="6"/>
      <c r="F228" s="6"/>
      <c r="H228" s="3"/>
    </row>
    <row r="229" spans="5:8" x14ac:dyDescent="0.25">
      <c r="E229" s="6"/>
      <c r="F229" s="6"/>
      <c r="H229" s="3"/>
    </row>
    <row r="230" spans="5:8" x14ac:dyDescent="0.25">
      <c r="E230" s="6"/>
      <c r="F230" s="6"/>
      <c r="H230" s="3"/>
    </row>
    <row r="231" spans="5:8" x14ac:dyDescent="0.25">
      <c r="E231" s="6"/>
      <c r="F231" s="6"/>
      <c r="H231" s="3"/>
    </row>
    <row r="232" spans="5:8" x14ac:dyDescent="0.25">
      <c r="E232" s="6"/>
      <c r="F232" s="6"/>
      <c r="H232" s="3"/>
    </row>
    <row r="233" spans="5:8" x14ac:dyDescent="0.25">
      <c r="E233" s="6"/>
      <c r="F233" s="6"/>
      <c r="H233" s="3"/>
    </row>
    <row r="234" spans="5:8" x14ac:dyDescent="0.25">
      <c r="E234" s="6"/>
      <c r="F234" s="6"/>
      <c r="H234" s="3"/>
    </row>
    <row r="235" spans="5:8" x14ac:dyDescent="0.25">
      <c r="E235" s="6"/>
      <c r="F235" s="6"/>
      <c r="H235" s="3"/>
    </row>
    <row r="236" spans="5:8" x14ac:dyDescent="0.25">
      <c r="E236" s="6"/>
      <c r="F236" s="6"/>
      <c r="H236" s="3"/>
    </row>
    <row r="237" spans="5:8" x14ac:dyDescent="0.25">
      <c r="E237" s="6"/>
      <c r="F237" s="6"/>
      <c r="H237" s="3"/>
    </row>
    <row r="238" spans="5:8" x14ac:dyDescent="0.25">
      <c r="E238" s="6"/>
      <c r="F238" s="6"/>
      <c r="H238" s="3"/>
    </row>
    <row r="239" spans="5:8" x14ac:dyDescent="0.25">
      <c r="E239" s="6"/>
      <c r="F239" s="6"/>
      <c r="H239" s="3"/>
    </row>
    <row r="240" spans="5:8" x14ac:dyDescent="0.25">
      <c r="E240" s="6"/>
      <c r="F240" s="6"/>
      <c r="H240" s="3"/>
    </row>
    <row r="241" spans="5:8" x14ac:dyDescent="0.25">
      <c r="E241" s="6"/>
      <c r="F241" s="6"/>
      <c r="H241" s="3"/>
    </row>
    <row r="242" spans="5:8" x14ac:dyDescent="0.25">
      <c r="E242" s="6"/>
      <c r="F242" s="6"/>
      <c r="H242" s="3"/>
    </row>
    <row r="243" spans="5:8" x14ac:dyDescent="0.25">
      <c r="E243" s="6"/>
      <c r="F243" s="6"/>
      <c r="H243" s="3"/>
    </row>
    <row r="244" spans="5:8" x14ac:dyDescent="0.25">
      <c r="E244" s="6"/>
      <c r="F244" s="6"/>
      <c r="H244" s="3"/>
    </row>
    <row r="245" spans="5:8" x14ac:dyDescent="0.25">
      <c r="E245" s="6"/>
      <c r="F245" s="6"/>
      <c r="H245" s="3"/>
    </row>
    <row r="246" spans="5:8" x14ac:dyDescent="0.25">
      <c r="E246" s="6"/>
      <c r="F246" s="6"/>
      <c r="H246" s="3"/>
    </row>
    <row r="247" spans="5:8" x14ac:dyDescent="0.25">
      <c r="E247" s="6"/>
      <c r="F247" s="6"/>
      <c r="H247" s="3"/>
    </row>
    <row r="248" spans="5:8" x14ac:dyDescent="0.25">
      <c r="E248" s="6"/>
      <c r="F248" s="6"/>
      <c r="H248" s="3"/>
    </row>
    <row r="249" spans="5:8" x14ac:dyDescent="0.25">
      <c r="E249" s="6"/>
      <c r="F249" s="6"/>
      <c r="H249" s="3"/>
    </row>
    <row r="250" spans="5:8" x14ac:dyDescent="0.25">
      <c r="E250" s="6"/>
      <c r="F250" s="6"/>
      <c r="H250" s="3"/>
    </row>
    <row r="251" spans="5:8" x14ac:dyDescent="0.25">
      <c r="E251" s="6"/>
      <c r="F251" s="6"/>
      <c r="H251" s="3"/>
    </row>
    <row r="252" spans="5:8" x14ac:dyDescent="0.25">
      <c r="E252" s="6"/>
      <c r="F252" s="6"/>
      <c r="H252" s="3"/>
    </row>
    <row r="253" spans="5:8" x14ac:dyDescent="0.25">
      <c r="E253" s="6"/>
      <c r="F253" s="6"/>
      <c r="H253" s="3"/>
    </row>
    <row r="254" spans="5:8" x14ac:dyDescent="0.25">
      <c r="E254" s="6"/>
      <c r="F254" s="6"/>
      <c r="H254" s="3"/>
    </row>
    <row r="255" spans="5:8" x14ac:dyDescent="0.25">
      <c r="E255" s="6"/>
      <c r="F255" s="6"/>
      <c r="H255" s="3"/>
    </row>
    <row r="256" spans="5:8" x14ac:dyDescent="0.25">
      <c r="E256" s="6"/>
      <c r="F256" s="6"/>
      <c r="H256" s="3"/>
    </row>
    <row r="257" spans="5:8" x14ac:dyDescent="0.25">
      <c r="E257" s="6"/>
      <c r="F257" s="6"/>
      <c r="H257" s="3"/>
    </row>
    <row r="258" spans="5:8" x14ac:dyDescent="0.25">
      <c r="E258" s="6"/>
      <c r="F258" s="6"/>
      <c r="H258" s="3"/>
    </row>
    <row r="259" spans="5:8" x14ac:dyDescent="0.25">
      <c r="E259" s="6"/>
      <c r="F259" s="6"/>
      <c r="H259" s="3"/>
    </row>
    <row r="260" spans="5:8" x14ac:dyDescent="0.25">
      <c r="E260" s="6"/>
      <c r="F260" s="6"/>
      <c r="H260" s="3"/>
    </row>
    <row r="261" spans="5:8" x14ac:dyDescent="0.25">
      <c r="E261" s="6"/>
      <c r="F261" s="6"/>
      <c r="H261" s="3"/>
    </row>
    <row r="262" spans="5:8" x14ac:dyDescent="0.25">
      <c r="E262" s="6"/>
      <c r="F262" s="6"/>
      <c r="H262" s="3"/>
    </row>
    <row r="263" spans="5:8" x14ac:dyDescent="0.25">
      <c r="E263" s="6"/>
      <c r="F263" s="6"/>
      <c r="H263" s="3"/>
    </row>
    <row r="264" spans="5:8" x14ac:dyDescent="0.25">
      <c r="E264" s="6"/>
      <c r="F264" s="6"/>
      <c r="H264" s="3"/>
    </row>
    <row r="265" spans="5:8" x14ac:dyDescent="0.25">
      <c r="E265" s="6"/>
      <c r="F265" s="6"/>
      <c r="H265" s="3"/>
    </row>
    <row r="268" spans="5:8" x14ac:dyDescent="0.25">
      <c r="E268" s="6"/>
      <c r="F268" s="6"/>
      <c r="H268" s="3"/>
    </row>
    <row r="269" spans="5:8" x14ac:dyDescent="0.25">
      <c r="E269" s="6"/>
      <c r="F269" s="6"/>
      <c r="H269" s="3"/>
    </row>
    <row r="270" spans="5:8" x14ac:dyDescent="0.25">
      <c r="E270" s="6"/>
      <c r="F270" s="6"/>
      <c r="H270" s="3"/>
    </row>
    <row r="271" spans="5:8" x14ac:dyDescent="0.25">
      <c r="E271" s="6"/>
      <c r="F271" s="6"/>
      <c r="H271" s="3"/>
    </row>
    <row r="272" spans="5:8" x14ac:dyDescent="0.25">
      <c r="E272" s="6"/>
      <c r="F272" s="6"/>
      <c r="H272" s="3"/>
    </row>
    <row r="273" spans="5:8" x14ac:dyDescent="0.25">
      <c r="E273" s="6"/>
      <c r="F273" s="6"/>
      <c r="H273" s="3"/>
    </row>
    <row r="276" spans="5:8" x14ac:dyDescent="0.25">
      <c r="E276" s="6"/>
      <c r="F276" s="6"/>
      <c r="H276" s="3"/>
    </row>
    <row r="284" spans="5:8" x14ac:dyDescent="0.25">
      <c r="E284" s="6"/>
      <c r="F284" s="6"/>
      <c r="H284" s="3"/>
    </row>
    <row r="285" spans="5:8" x14ac:dyDescent="0.25">
      <c r="E285" s="6"/>
      <c r="F285" s="6"/>
      <c r="H285" s="3"/>
    </row>
    <row r="299" spans="5:8" x14ac:dyDescent="0.25">
      <c r="E299" s="6"/>
      <c r="F299" s="6"/>
      <c r="H299" s="3"/>
    </row>
    <row r="313" spans="5:8" x14ac:dyDescent="0.25">
      <c r="E313" s="6"/>
      <c r="F313" s="6"/>
      <c r="H313" s="3"/>
    </row>
    <row r="314" spans="5:8" x14ac:dyDescent="0.25">
      <c r="E314" s="6"/>
      <c r="F314" s="6"/>
      <c r="H314" s="3"/>
    </row>
    <row r="315" spans="5:8" x14ac:dyDescent="0.25">
      <c r="E315" s="6"/>
      <c r="F315" s="6"/>
      <c r="H315" s="3"/>
    </row>
    <row r="316" spans="5:8" x14ac:dyDescent="0.25">
      <c r="E316" s="6"/>
      <c r="F316" s="6"/>
      <c r="H316" s="3"/>
    </row>
    <row r="317" spans="5:8" x14ac:dyDescent="0.25">
      <c r="E317" s="6"/>
      <c r="F317" s="6"/>
      <c r="H317" s="3"/>
    </row>
    <row r="318" spans="5:8" x14ac:dyDescent="0.25">
      <c r="E318" s="6"/>
      <c r="F318" s="6"/>
      <c r="H318" s="3"/>
    </row>
    <row r="319" spans="5:8" x14ac:dyDescent="0.25">
      <c r="E319" s="6"/>
      <c r="F319" s="6"/>
      <c r="H319" s="3"/>
    </row>
    <row r="320" spans="5:8" x14ac:dyDescent="0.25">
      <c r="E320" s="6"/>
      <c r="F320" s="6"/>
      <c r="H320" s="3"/>
    </row>
    <row r="321" spans="5:8" x14ac:dyDescent="0.25">
      <c r="E321" s="6"/>
      <c r="F321" s="6"/>
      <c r="H321" s="3"/>
    </row>
    <row r="322" spans="5:8" x14ac:dyDescent="0.25">
      <c r="E322" s="6"/>
      <c r="F322" s="6"/>
      <c r="H322" s="3"/>
    </row>
    <row r="323" spans="5:8" x14ac:dyDescent="0.25">
      <c r="E323" s="6"/>
      <c r="F323" s="6"/>
      <c r="H323" s="3"/>
    </row>
    <row r="324" spans="5:8" x14ac:dyDescent="0.25">
      <c r="E324" s="6"/>
      <c r="F324" s="6"/>
      <c r="H324" s="3"/>
    </row>
    <row r="325" spans="5:8" x14ac:dyDescent="0.25">
      <c r="E325" s="6"/>
      <c r="F325" s="6"/>
      <c r="H325" s="3"/>
    </row>
    <row r="326" spans="5:8" x14ac:dyDescent="0.25">
      <c r="E326" s="6"/>
      <c r="F326" s="6"/>
      <c r="H326" s="3"/>
    </row>
    <row r="327" spans="5:8" x14ac:dyDescent="0.25">
      <c r="E327" s="6"/>
      <c r="F327" s="6"/>
      <c r="H327" s="3"/>
    </row>
    <row r="328" spans="5:8" x14ac:dyDescent="0.25">
      <c r="E328" s="6"/>
      <c r="F328" s="6"/>
      <c r="H328" s="3"/>
    </row>
    <row r="329" spans="5:8" x14ac:dyDescent="0.25">
      <c r="E329" s="6"/>
      <c r="F329" s="6"/>
      <c r="H329" s="3"/>
    </row>
    <row r="342" spans="5:8" x14ac:dyDescent="0.25">
      <c r="E342" s="6"/>
      <c r="F342" s="6"/>
      <c r="H342" s="3"/>
    </row>
    <row r="343" spans="5:8" x14ac:dyDescent="0.25">
      <c r="E343" s="6"/>
      <c r="F343" s="6"/>
      <c r="H343" s="3"/>
    </row>
    <row r="347" spans="5:8" x14ac:dyDescent="0.25">
      <c r="E347" s="6"/>
      <c r="F347" s="6"/>
      <c r="H347" s="3"/>
    </row>
    <row r="348" spans="5:8" x14ac:dyDescent="0.25">
      <c r="E348" s="6"/>
      <c r="F348" s="6"/>
      <c r="H348" s="3"/>
    </row>
    <row r="349" spans="5:8" x14ac:dyDescent="0.25">
      <c r="E349" s="6"/>
      <c r="F349" s="6"/>
      <c r="H349" s="3"/>
    </row>
    <row r="353" spans="5:8" x14ac:dyDescent="0.25">
      <c r="E353" s="6"/>
      <c r="F353" s="6"/>
      <c r="H353" s="3"/>
    </row>
    <row r="354" spans="5:8" x14ac:dyDescent="0.25">
      <c r="E354" s="6"/>
      <c r="F354" s="6"/>
      <c r="H354" s="3"/>
    </row>
    <row r="355" spans="5:8" x14ac:dyDescent="0.25">
      <c r="E355" s="6"/>
      <c r="F355" s="6"/>
      <c r="H355" s="3"/>
    </row>
    <row r="356" spans="5:8" x14ac:dyDescent="0.25">
      <c r="E356" s="6"/>
      <c r="F356" s="6"/>
      <c r="H356" s="3"/>
    </row>
    <row r="359" spans="5:8" x14ac:dyDescent="0.25">
      <c r="E359" s="6"/>
      <c r="F359" s="6"/>
      <c r="H359" s="3"/>
    </row>
    <row r="360" spans="5:8" x14ac:dyDescent="0.25">
      <c r="E360" s="6"/>
      <c r="F360" s="6"/>
      <c r="H360" s="3"/>
    </row>
    <row r="361" spans="5:8" x14ac:dyDescent="0.25">
      <c r="E361" s="6"/>
      <c r="F361" s="6"/>
      <c r="H361" s="3"/>
    </row>
    <row r="362" spans="5:8" x14ac:dyDescent="0.25">
      <c r="E362" s="6"/>
      <c r="F362" s="6"/>
      <c r="H362" s="3"/>
    </row>
    <row r="364" spans="5:8" x14ac:dyDescent="0.25">
      <c r="E364" s="6"/>
      <c r="F364" s="6"/>
      <c r="H364" s="3"/>
    </row>
    <row r="365" spans="5:8" x14ac:dyDescent="0.25">
      <c r="E365" s="6"/>
      <c r="F365" s="6"/>
      <c r="H365" s="3"/>
    </row>
    <row r="366" spans="5:8" x14ac:dyDescent="0.25">
      <c r="E366" s="6"/>
      <c r="F366" s="6"/>
      <c r="H366" s="3"/>
    </row>
    <row r="367" spans="5:8" x14ac:dyDescent="0.25">
      <c r="E367" s="6"/>
      <c r="F367" s="6"/>
      <c r="H367" s="3"/>
    </row>
    <row r="369" spans="5:8" x14ac:dyDescent="0.25">
      <c r="E369" s="6"/>
      <c r="F369" s="6"/>
      <c r="H369" s="3"/>
    </row>
    <row r="370" spans="5:8" x14ac:dyDescent="0.25">
      <c r="E370" s="6"/>
      <c r="F370" s="6"/>
      <c r="H370" s="3"/>
    </row>
    <row r="371" spans="5:8" x14ac:dyDescent="0.25">
      <c r="E371" s="6"/>
      <c r="F371" s="6"/>
      <c r="H371" s="3"/>
    </row>
    <row r="372" spans="5:8" x14ac:dyDescent="0.25">
      <c r="E372" s="6"/>
      <c r="F372" s="6"/>
      <c r="H372" s="3"/>
    </row>
    <row r="373" spans="5:8" x14ac:dyDescent="0.25">
      <c r="E373" s="6"/>
      <c r="F373" s="6"/>
      <c r="H373" s="3"/>
    </row>
    <row r="374" spans="5:8" x14ac:dyDescent="0.25">
      <c r="E374" s="6"/>
      <c r="F374" s="6"/>
      <c r="H374" s="3"/>
    </row>
    <row r="375" spans="5:8" x14ac:dyDescent="0.25">
      <c r="E375" s="6"/>
      <c r="F375" s="6"/>
      <c r="H375" s="3"/>
    </row>
    <row r="376" spans="5:8" x14ac:dyDescent="0.25">
      <c r="E376" s="6"/>
      <c r="F376" s="6"/>
      <c r="H376" s="3"/>
    </row>
    <row r="377" spans="5:8" x14ac:dyDescent="0.25">
      <c r="E377" s="6"/>
      <c r="F377" s="6"/>
      <c r="H377" s="3"/>
    </row>
    <row r="378" spans="5:8" x14ac:dyDescent="0.25">
      <c r="E378" s="6"/>
      <c r="F378" s="6"/>
      <c r="H378" s="3"/>
    </row>
    <row r="379" spans="5:8" x14ac:dyDescent="0.25">
      <c r="E379" s="6"/>
      <c r="F379" s="6"/>
      <c r="H379" s="3"/>
    </row>
    <row r="380" spans="5:8" x14ac:dyDescent="0.25">
      <c r="E380" s="6"/>
      <c r="F380" s="6"/>
      <c r="H380" s="3"/>
    </row>
    <row r="381" spans="5:8" x14ac:dyDescent="0.25">
      <c r="E381" s="6"/>
      <c r="F381" s="6"/>
      <c r="H381" s="3"/>
    </row>
    <row r="382" spans="5:8" x14ac:dyDescent="0.25">
      <c r="E382" s="6"/>
      <c r="F382" s="6"/>
      <c r="H382" s="3"/>
    </row>
    <row r="384" spans="5:8" x14ac:dyDescent="0.25">
      <c r="E384" s="6"/>
      <c r="F384" s="6"/>
      <c r="H384" s="3"/>
    </row>
    <row r="385" spans="5:8" x14ac:dyDescent="0.25">
      <c r="E385" s="6"/>
      <c r="F385" s="6"/>
      <c r="H385" s="3"/>
    </row>
    <row r="386" spans="5:8" x14ac:dyDescent="0.25">
      <c r="E386" s="6"/>
      <c r="F386" s="6"/>
      <c r="H386" s="3"/>
    </row>
    <row r="387" spans="5:8" x14ac:dyDescent="0.25">
      <c r="E387" s="6"/>
      <c r="F387" s="6"/>
      <c r="H387" s="3"/>
    </row>
    <row r="388" spans="5:8" x14ac:dyDescent="0.25">
      <c r="E388" s="6"/>
      <c r="F388" s="6"/>
      <c r="H388" s="3"/>
    </row>
    <row r="389" spans="5:8" x14ac:dyDescent="0.25">
      <c r="E389" s="6"/>
      <c r="F389" s="6"/>
      <c r="H389" s="3"/>
    </row>
    <row r="390" spans="5:8" x14ac:dyDescent="0.25">
      <c r="E390" s="6"/>
      <c r="F390" s="6"/>
      <c r="H390" s="3"/>
    </row>
    <row r="391" spans="5:8" x14ac:dyDescent="0.25">
      <c r="E391" s="6"/>
      <c r="F391" s="6"/>
      <c r="H391" s="3"/>
    </row>
    <row r="392" spans="5:8" x14ac:dyDescent="0.25">
      <c r="E392" s="6"/>
      <c r="F392" s="6"/>
      <c r="H392" s="3"/>
    </row>
    <row r="393" spans="5:8" x14ac:dyDescent="0.25">
      <c r="E393" s="6"/>
      <c r="F393" s="6"/>
      <c r="H393" s="3"/>
    </row>
    <row r="394" spans="5:8" x14ac:dyDescent="0.25">
      <c r="E394" s="6"/>
      <c r="F394" s="6"/>
      <c r="H394" s="3"/>
    </row>
    <row r="395" spans="5:8" x14ac:dyDescent="0.25">
      <c r="E395" s="6"/>
      <c r="F395" s="6"/>
      <c r="H395" s="3"/>
    </row>
    <row r="396" spans="5:8" x14ac:dyDescent="0.25">
      <c r="E396" s="6"/>
      <c r="F396" s="6"/>
      <c r="H396" s="3"/>
    </row>
    <row r="397" spans="5:8" x14ac:dyDescent="0.25">
      <c r="E397" s="6"/>
      <c r="F397" s="6"/>
      <c r="H397" s="3"/>
    </row>
    <row r="398" spans="5:8" x14ac:dyDescent="0.25">
      <c r="E398" s="6"/>
      <c r="F398" s="6"/>
      <c r="H398" s="3"/>
    </row>
    <row r="399" spans="5:8" x14ac:dyDescent="0.25">
      <c r="E399" s="6"/>
      <c r="F399" s="6"/>
      <c r="H399" s="3"/>
    </row>
    <row r="400" spans="5:8" x14ac:dyDescent="0.25">
      <c r="E400" s="6"/>
      <c r="F400" s="6"/>
      <c r="H400" s="3"/>
    </row>
    <row r="401" spans="5:8" x14ac:dyDescent="0.25">
      <c r="E401" s="6"/>
      <c r="F401" s="6"/>
      <c r="H401" s="3"/>
    </row>
    <row r="402" spans="5:8" x14ac:dyDescent="0.25">
      <c r="E402" s="6"/>
      <c r="F402" s="6"/>
      <c r="H402" s="3"/>
    </row>
    <row r="403" spans="5:8" x14ac:dyDescent="0.25">
      <c r="E403" s="6"/>
      <c r="F403" s="6"/>
      <c r="H403" s="3"/>
    </row>
    <row r="404" spans="5:8" x14ac:dyDescent="0.25">
      <c r="E404" s="6"/>
      <c r="F404" s="6"/>
      <c r="H404" s="3"/>
    </row>
    <row r="405" spans="5:8" x14ac:dyDescent="0.25">
      <c r="E405" s="6"/>
      <c r="F405" s="6"/>
      <c r="H405" s="3"/>
    </row>
    <row r="406" spans="5:8" x14ac:dyDescent="0.25">
      <c r="E406" s="6"/>
      <c r="F406" s="6"/>
      <c r="H406" s="3"/>
    </row>
    <row r="407" spans="5:8" x14ac:dyDescent="0.25">
      <c r="E407" s="6"/>
      <c r="F407" s="6"/>
      <c r="H407" s="3"/>
    </row>
    <row r="408" spans="5:8" x14ac:dyDescent="0.25">
      <c r="E408" s="6"/>
      <c r="F408" s="6"/>
      <c r="H408" s="3"/>
    </row>
    <row r="410" spans="5:8" x14ac:dyDescent="0.25">
      <c r="E410" s="6"/>
      <c r="F410" s="6"/>
      <c r="H410" s="3"/>
    </row>
    <row r="411" spans="5:8" x14ac:dyDescent="0.25">
      <c r="E411" s="6"/>
      <c r="F411" s="6"/>
      <c r="H411" s="3"/>
    </row>
    <row r="412" spans="5:8" x14ac:dyDescent="0.25">
      <c r="E412" s="6"/>
      <c r="F412" s="6"/>
      <c r="H412" s="3"/>
    </row>
    <row r="413" spans="5:8" x14ac:dyDescent="0.25">
      <c r="E413" s="6"/>
      <c r="F413" s="6"/>
      <c r="H413" s="3"/>
    </row>
    <row r="1091" spans="5:8" x14ac:dyDescent="0.25">
      <c r="E1091" s="6"/>
      <c r="F1091" s="6"/>
      <c r="H1091" s="3"/>
    </row>
    <row r="1092" spans="5:8" x14ac:dyDescent="0.25">
      <c r="E1092" s="6"/>
      <c r="F1092" s="6"/>
      <c r="H1092" s="3"/>
    </row>
    <row r="1093" spans="5:8" x14ac:dyDescent="0.25">
      <c r="E1093" s="6"/>
      <c r="F1093" s="6"/>
      <c r="H1093" s="3"/>
    </row>
    <row r="1094" spans="5:8" x14ac:dyDescent="0.25">
      <c r="E1094" s="6"/>
      <c r="F1094" s="6"/>
      <c r="H1094" s="3"/>
    </row>
    <row r="1095" spans="5:8" x14ac:dyDescent="0.25">
      <c r="E1095" s="6"/>
      <c r="F1095" s="6"/>
      <c r="H1095" s="3"/>
    </row>
    <row r="1185" spans="5:8" x14ac:dyDescent="0.25">
      <c r="E1185" s="6"/>
      <c r="F1185" s="6"/>
      <c r="H1185" s="3"/>
    </row>
    <row r="1186" spans="5:8" x14ac:dyDescent="0.25">
      <c r="E1186" s="6"/>
      <c r="F1186" s="6"/>
      <c r="H1186" s="3"/>
    </row>
    <row r="1187" spans="5:8" x14ac:dyDescent="0.25">
      <c r="E1187" s="6"/>
      <c r="F1187" s="6"/>
      <c r="H1187" s="3"/>
    </row>
    <row r="1188" spans="5:8" x14ac:dyDescent="0.25">
      <c r="E1188" s="6"/>
      <c r="F1188" s="6"/>
      <c r="H1188" s="3"/>
    </row>
    <row r="1189" spans="5:8" x14ac:dyDescent="0.25">
      <c r="E1189" s="6"/>
      <c r="F1189" s="6"/>
      <c r="H1189" s="3"/>
    </row>
    <row r="1190" spans="5:8" x14ac:dyDescent="0.25">
      <c r="E1190" s="6"/>
      <c r="F1190" s="6"/>
      <c r="H1190" s="3"/>
    </row>
    <row r="1191" spans="5:8" x14ac:dyDescent="0.25">
      <c r="E1191" s="6"/>
      <c r="F1191" s="6"/>
      <c r="H1191" s="3"/>
    </row>
    <row r="1192" spans="5:8" x14ac:dyDescent="0.25">
      <c r="E1192" s="6"/>
      <c r="F1192" s="6"/>
      <c r="H1192" s="3"/>
    </row>
    <row r="1383" spans="5:8" x14ac:dyDescent="0.25">
      <c r="E1383" s="6"/>
      <c r="F1383" s="6"/>
      <c r="H1383" s="3"/>
    </row>
    <row r="1384" spans="5:8" x14ac:dyDescent="0.25">
      <c r="E1384" s="6"/>
      <c r="F1384" s="6"/>
      <c r="H1384" s="3"/>
    </row>
    <row r="1385" spans="5:8" x14ac:dyDescent="0.25">
      <c r="E1385" s="6"/>
      <c r="F1385" s="6"/>
      <c r="H1385" s="3"/>
    </row>
    <row r="1386" spans="5:8" x14ac:dyDescent="0.25">
      <c r="E1386" s="6"/>
      <c r="F1386" s="6"/>
      <c r="H1386" s="3"/>
    </row>
    <row r="1413" spans="5:8" x14ac:dyDescent="0.25">
      <c r="E1413" s="6"/>
      <c r="F1413" s="6"/>
      <c r="H1413" s="3"/>
    </row>
    <row r="2306" spans="5:8" x14ac:dyDescent="0.25">
      <c r="E2306" s="6"/>
      <c r="F2306" s="6"/>
      <c r="H2306" s="3"/>
    </row>
    <row r="2307" spans="5:8" x14ac:dyDescent="0.25">
      <c r="E2307" s="6"/>
      <c r="F2307" s="6"/>
      <c r="H2307" s="3"/>
    </row>
    <row r="2308" spans="5:8" x14ac:dyDescent="0.25">
      <c r="E2308" s="6"/>
      <c r="F2308" s="6"/>
      <c r="H2308" s="3"/>
    </row>
    <row r="2309" spans="5:8" x14ac:dyDescent="0.25">
      <c r="E2309" s="6"/>
      <c r="F2309" s="6"/>
      <c r="H2309" s="3"/>
    </row>
    <row r="2310" spans="5:8" x14ac:dyDescent="0.25">
      <c r="E2310" s="6"/>
      <c r="F2310" s="6"/>
      <c r="H2310" s="3"/>
    </row>
    <row r="2311" spans="5:8" x14ac:dyDescent="0.25">
      <c r="E2311" s="6"/>
      <c r="F2311" s="6"/>
      <c r="H2311" s="3"/>
    </row>
    <row r="2312" spans="5:8" x14ac:dyDescent="0.25">
      <c r="E2312" s="6"/>
      <c r="F2312" s="6"/>
      <c r="H2312" s="3"/>
    </row>
    <row r="2313" spans="5:8" x14ac:dyDescent="0.25">
      <c r="E2313" s="6"/>
      <c r="F2313" s="6"/>
      <c r="H2313" s="3"/>
    </row>
    <row r="2314" spans="5:8" x14ac:dyDescent="0.25">
      <c r="E2314" s="6"/>
      <c r="F2314" s="6"/>
      <c r="H2314" s="3"/>
    </row>
    <row r="2315" spans="5:8" x14ac:dyDescent="0.25">
      <c r="E2315" s="6"/>
      <c r="F2315" s="6"/>
      <c r="H2315" s="3"/>
    </row>
    <row r="2316" spans="5:8" x14ac:dyDescent="0.25">
      <c r="E2316" s="6"/>
      <c r="F2316" s="6"/>
      <c r="H2316" s="3"/>
    </row>
    <row r="2317" spans="5:8" x14ac:dyDescent="0.25">
      <c r="E2317" s="6"/>
      <c r="F2317" s="6"/>
      <c r="H2317" s="3"/>
    </row>
    <row r="2318" spans="5:8" x14ac:dyDescent="0.25">
      <c r="E2318" s="6"/>
      <c r="F2318" s="6"/>
      <c r="H2318" s="3"/>
    </row>
    <row r="2343" spans="5:8" x14ac:dyDescent="0.25">
      <c r="E2343" s="6"/>
      <c r="F2343" s="6"/>
      <c r="H2343" s="3"/>
    </row>
    <row r="2866" spans="5:8" x14ac:dyDescent="0.25">
      <c r="E2866" s="6"/>
      <c r="F2866" s="6"/>
      <c r="H2866" s="3"/>
    </row>
    <row r="2867" spans="5:8" x14ac:dyDescent="0.25">
      <c r="E2867" s="6"/>
      <c r="F2867" s="6"/>
      <c r="H2867" s="3"/>
    </row>
    <row r="2868" spans="5:8" x14ac:dyDescent="0.25">
      <c r="E2868" s="6"/>
      <c r="F2868" s="6"/>
      <c r="H2868" s="3"/>
    </row>
    <row r="2869" spans="5:8" x14ac:dyDescent="0.25">
      <c r="E2869" s="6"/>
      <c r="F2869" s="6"/>
      <c r="H2869" s="3"/>
    </row>
    <row r="2870" spans="5:8" x14ac:dyDescent="0.25">
      <c r="E2870" s="6"/>
      <c r="F2870" s="6"/>
      <c r="H2870" s="3"/>
    </row>
    <row r="2879" spans="5:8" x14ac:dyDescent="0.25">
      <c r="E2879" s="6"/>
      <c r="F2879" s="6"/>
      <c r="H2879" s="3"/>
    </row>
    <row r="3033" spans="5:8" x14ac:dyDescent="0.25">
      <c r="E3033" s="6"/>
      <c r="F3033" s="6"/>
      <c r="H3033" s="3"/>
    </row>
    <row r="3034" spans="5:8" x14ac:dyDescent="0.25">
      <c r="E3034" s="6"/>
      <c r="F3034" s="6"/>
      <c r="H3034" s="3"/>
    </row>
    <row r="3035" spans="5:8" x14ac:dyDescent="0.25">
      <c r="E3035" s="6"/>
      <c r="F3035" s="6"/>
      <c r="H3035" s="3"/>
    </row>
    <row r="3036" spans="5:8" x14ac:dyDescent="0.25">
      <c r="E3036" s="6"/>
      <c r="F3036" s="6"/>
      <c r="H3036" s="3"/>
    </row>
    <row r="3037" spans="5:8" x14ac:dyDescent="0.25">
      <c r="E3037" s="6"/>
      <c r="F3037" s="6"/>
      <c r="H3037" s="3"/>
    </row>
    <row r="3038" spans="5:8" x14ac:dyDescent="0.25">
      <c r="E3038" s="6"/>
      <c r="F3038" s="6"/>
      <c r="H3038" s="3"/>
    </row>
    <row r="3039" spans="5:8" x14ac:dyDescent="0.25">
      <c r="E3039" s="6"/>
      <c r="F3039" s="6"/>
      <c r="H3039" s="3"/>
    </row>
    <row r="3790" spans="5:8" x14ac:dyDescent="0.25">
      <c r="E3790" s="6"/>
      <c r="F3790" s="6"/>
      <c r="H3790" s="3"/>
    </row>
    <row r="3791" spans="5:8" x14ac:dyDescent="0.25">
      <c r="E3791" s="6"/>
      <c r="F3791" s="6"/>
      <c r="H3791" s="3"/>
    </row>
    <row r="3792" spans="5:8" x14ac:dyDescent="0.25">
      <c r="E3792" s="6"/>
      <c r="F3792" s="6"/>
      <c r="H3792" s="3"/>
    </row>
    <row r="3793" spans="5:8" x14ac:dyDescent="0.25">
      <c r="E3793" s="6"/>
      <c r="F3793" s="6"/>
      <c r="H3793" s="3"/>
    </row>
    <row r="3794" spans="5:8" x14ac:dyDescent="0.25">
      <c r="E3794" s="6"/>
      <c r="F3794" s="6"/>
      <c r="H3794" s="3"/>
    </row>
    <row r="3795" spans="5:8" x14ac:dyDescent="0.25">
      <c r="E3795" s="6"/>
      <c r="F3795" s="6"/>
      <c r="H3795" s="3"/>
    </row>
    <row r="3796" spans="5:8" x14ac:dyDescent="0.25">
      <c r="E3796" s="6"/>
      <c r="F3796" s="6"/>
      <c r="H3796" s="3"/>
    </row>
    <row r="3797" spans="5:8" x14ac:dyDescent="0.25">
      <c r="E3797" s="6"/>
      <c r="F3797" s="6"/>
      <c r="H3797" s="3"/>
    </row>
    <row r="3798" spans="5:8" x14ac:dyDescent="0.25">
      <c r="E3798" s="6"/>
      <c r="F3798" s="6"/>
      <c r="H3798" s="3"/>
    </row>
    <row r="3799" spans="5:8" x14ac:dyDescent="0.25">
      <c r="E3799" s="6"/>
      <c r="F3799" s="6"/>
      <c r="H3799" s="3"/>
    </row>
    <row r="3800" spans="5:8" x14ac:dyDescent="0.25">
      <c r="E3800" s="6"/>
      <c r="F3800" s="6"/>
      <c r="H3800" s="3"/>
    </row>
    <row r="3801" spans="5:8" x14ac:dyDescent="0.25">
      <c r="E3801" s="6"/>
      <c r="F3801" s="6"/>
      <c r="H3801" s="3"/>
    </row>
    <row r="3892" spans="5:8" x14ac:dyDescent="0.25">
      <c r="E3892" s="6"/>
      <c r="F3892" s="6"/>
      <c r="H3892" s="3"/>
    </row>
    <row r="3893" spans="5:8" x14ac:dyDescent="0.25">
      <c r="E3893" s="6"/>
      <c r="F3893" s="6"/>
      <c r="H3893" s="3"/>
    </row>
    <row r="3894" spans="5:8" x14ac:dyDescent="0.25">
      <c r="E3894" s="6"/>
      <c r="F3894" s="6"/>
      <c r="H3894" s="3"/>
    </row>
    <row r="3895" spans="5:8" x14ac:dyDescent="0.25">
      <c r="E3895" s="6"/>
      <c r="F3895" s="6"/>
      <c r="H3895" s="3"/>
    </row>
    <row r="3896" spans="5:8" x14ac:dyDescent="0.25">
      <c r="E3896" s="6"/>
      <c r="F3896" s="6"/>
      <c r="H3896" s="3"/>
    </row>
    <row r="3897" spans="5:8" x14ac:dyDescent="0.25">
      <c r="E3897" s="6"/>
      <c r="F3897" s="6"/>
      <c r="H3897" s="3"/>
    </row>
    <row r="3898" spans="5:8" x14ac:dyDescent="0.25">
      <c r="E3898" s="6"/>
      <c r="F3898" s="6"/>
      <c r="H3898" s="3"/>
    </row>
    <row r="4037" spans="5:8" x14ac:dyDescent="0.25">
      <c r="E4037" s="6"/>
      <c r="F4037" s="6"/>
      <c r="H4037" s="3"/>
    </row>
    <row r="4038" spans="5:8" x14ac:dyDescent="0.25">
      <c r="E4038" s="6"/>
      <c r="F4038" s="6"/>
      <c r="H4038" s="3"/>
    </row>
    <row r="4039" spans="5:8" x14ac:dyDescent="0.25">
      <c r="E4039" s="6"/>
      <c r="F4039" s="6"/>
      <c r="H4039" s="3"/>
    </row>
    <row r="4040" spans="5:8" x14ac:dyDescent="0.25">
      <c r="E4040" s="6"/>
      <c r="F4040" s="6"/>
      <c r="H4040" s="3"/>
    </row>
  </sheetData>
  <sortState ref="A2:M203">
    <sortCondition ref="J2:J4040"/>
    <sortCondition ref="J2:J203"/>
  </sortState>
  <conditionalFormatting sqref="A2:J24 A26:J1048576">
    <cfRule type="expression" dxfId="9" priority="4">
      <formula>IF(OR($I2="HOLIDAY",$I2="SATURDAY",$I2="SUNDAY"),1,0)</formula>
    </cfRule>
    <cfRule type="expression" dxfId="8" priority="8">
      <formula>IF($I2="",1,0)</formula>
    </cfRule>
    <cfRule type="expression" dxfId="7" priority="9">
      <formula>IF($I2="STARTED",1,0)</formula>
    </cfRule>
    <cfRule type="expression" dxfId="6" priority="10">
      <formula>IF($I2="PULLED",1,0)</formula>
    </cfRule>
  </conditionalFormatting>
  <conditionalFormatting sqref="A25:J25">
    <cfRule type="expression" dxfId="5" priority="5">
      <formula>IF($I25="",1,0)</formula>
    </cfRule>
    <cfRule type="expression" dxfId="4" priority="6">
      <formula>IF($I25="STARTED",1,0)</formula>
    </cfRule>
    <cfRule type="expression" dxfId="3" priority="7">
      <formula>IF($I25="PULLED",1,0)</formula>
    </cfRule>
  </conditionalFormatting>
  <conditionalFormatting sqref="A1:J1">
    <cfRule type="expression" dxfId="2" priority="1">
      <formula>IF($I1="",1,0)</formula>
    </cfRule>
    <cfRule type="expression" dxfId="1" priority="2">
      <formula>IF($I1="STARTED",1,0)</formula>
    </cfRule>
    <cfRule type="expression" dxfId="0" priority="3">
      <formula>IF($I1="PULLED",1,0)</formula>
    </cfRule>
  </conditionalFormatting>
  <dataValidations count="2">
    <dataValidation type="list" allowBlank="1" showInputMessage="1" showErrorMessage="1" sqref="G276 G106:G108 G110:G112 G115:G117 G94:G100 G132:G133 G119:G120 G284:G285 G4037:G4040 G7:G41 G1091:G1095 G1185:G1192 G1383:G1386 G1413 G2306:G2318 G2343 G2866:G2870 G2879 G3033:G3039 G3790:G3801 G3892:G3898 G268:G273 G299 G342:G343 G347:G349 G359:G362 G364:G367 G410:G413 G210:G217 G219:G265 G313:G329 G353:G356 G369:G382 G384:G396 G398:G408 G43:G92 G123:G130 G2:G5 G136:G207">
      <formula1>"1L, 2L"</formula1>
    </dataValidation>
    <dataValidation type="list" showInputMessage="1" showErrorMessage="1" sqref="G42 G397 G6">
      <formula1>"1L, 2L,"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69"/>
  <sheetViews>
    <sheetView workbookViewId="0">
      <selection activeCell="N28" sqref="N28"/>
    </sheetView>
  </sheetViews>
  <sheetFormatPr defaultRowHeight="15" x14ac:dyDescent="0.25"/>
  <cols>
    <col min="1" max="1" width="9.140625" style="2"/>
    <col min="2" max="2" width="27.7109375" style="4" bestFit="1" customWidth="1"/>
    <col min="3" max="3" width="14.28515625" style="4" bestFit="1" customWidth="1"/>
    <col min="4" max="4" width="13.42578125" style="4" bestFit="1" customWidth="1"/>
    <col min="5" max="5" width="10" style="4" bestFit="1" customWidth="1"/>
    <col min="6" max="6" width="15" style="4" bestFit="1" customWidth="1"/>
    <col min="7" max="7" width="9.5703125" style="4" bestFit="1" customWidth="1"/>
    <col min="8" max="8" width="12.42578125" style="4" bestFit="1" customWidth="1"/>
    <col min="9" max="9" width="18.5703125" style="4" bestFit="1" customWidth="1"/>
    <col min="10" max="10" width="13.42578125" style="4" bestFit="1" customWidth="1"/>
    <col min="11" max="11" width="13.5703125" style="4" bestFit="1" customWidth="1"/>
    <col min="12" max="13" width="9.140625" style="2"/>
    <col min="14" max="14" width="10.7109375" style="2" bestFit="1" customWidth="1"/>
    <col min="15" max="15" width="8.7109375" style="2" bestFit="1" customWidth="1"/>
    <col min="16" max="22" width="9.140625" style="2"/>
    <col min="23" max="23" width="9.7109375" style="2" bestFit="1" customWidth="1"/>
    <col min="24" max="24" width="9.140625" style="2"/>
    <col min="25" max="25" width="9.7109375" style="2" bestFit="1" customWidth="1"/>
    <col min="26" max="26" width="9.140625" style="2"/>
    <col min="27" max="27" width="9.7109375" style="2" bestFit="1" customWidth="1"/>
    <col min="28" max="16384" width="9.140625" style="2"/>
  </cols>
  <sheetData>
    <row r="1" spans="1:27" x14ac:dyDescent="0.25">
      <c r="A1" s="2" t="s">
        <v>147</v>
      </c>
      <c r="B1" s="4" t="s">
        <v>119</v>
      </c>
      <c r="C1" s="4" t="s">
        <v>120</v>
      </c>
      <c r="D1" s="4" t="s">
        <v>121</v>
      </c>
      <c r="E1" s="4" t="s">
        <v>122</v>
      </c>
      <c r="F1" s="4" t="s">
        <v>123</v>
      </c>
      <c r="G1" s="4" t="s">
        <v>124</v>
      </c>
      <c r="H1" s="4" t="s">
        <v>125</v>
      </c>
      <c r="I1" s="4" t="s">
        <v>128</v>
      </c>
      <c r="J1" s="4" t="s">
        <v>126</v>
      </c>
      <c r="K1" s="4" t="s">
        <v>127</v>
      </c>
    </row>
    <row r="2" spans="1:27" x14ac:dyDescent="0.25">
      <c r="A2" s="2">
        <v>2019</v>
      </c>
      <c r="B2" s="4" t="s">
        <v>132</v>
      </c>
      <c r="C2" s="4">
        <v>43514</v>
      </c>
      <c r="D2" s="4">
        <v>43612</v>
      </c>
      <c r="E2" s="4">
        <v>43650</v>
      </c>
      <c r="F2" s="4">
        <v>43651</v>
      </c>
      <c r="G2" s="4">
        <v>43710</v>
      </c>
      <c r="H2" s="4">
        <v>43797</v>
      </c>
      <c r="I2" s="4">
        <f>H2+1</f>
        <v>43798</v>
      </c>
      <c r="J2" s="4">
        <v>43823</v>
      </c>
      <c r="K2" s="4">
        <f>J2+1</f>
        <v>43824</v>
      </c>
      <c r="M2" s="2">
        <f>WEEKDAY(E2,2)</f>
        <v>4</v>
      </c>
      <c r="N2" s="2">
        <f>WEEKDAY(F2,2)</f>
        <v>5</v>
      </c>
      <c r="O2" s="4">
        <f>IF(M2=1,E2+1,IF(M2=2,E2-1,IF(M2=3,"N/A",IF(M2=4,E2+1,IF(M2=5,E2-1,IF(M2=6,"SATURDAY??","SUNDAY??"))))))</f>
        <v>43651</v>
      </c>
      <c r="R2" s="4">
        <v>43651</v>
      </c>
      <c r="T2" s="2">
        <f>WEEKDAY(B2,2)</f>
        <v>2</v>
      </c>
      <c r="U2" s="2" t="str">
        <f>IF(T2=6,"SATURDAY??",IF(T2=7,"SUNDAY??",B2))</f>
        <v>1/1/2019</v>
      </c>
      <c r="W2" s="4"/>
      <c r="AA2" s="9"/>
    </row>
    <row r="3" spans="1:27" x14ac:dyDescent="0.25">
      <c r="A3" s="2">
        <v>2020</v>
      </c>
      <c r="B3" s="4" t="s">
        <v>133</v>
      </c>
      <c r="C3" s="4">
        <v>43878</v>
      </c>
      <c r="D3" s="4">
        <v>43976</v>
      </c>
      <c r="E3" s="4">
        <v>44016</v>
      </c>
      <c r="F3" s="4" t="s">
        <v>129</v>
      </c>
      <c r="G3" s="4">
        <v>44081</v>
      </c>
      <c r="H3" s="4">
        <v>44161</v>
      </c>
      <c r="I3" s="4">
        <f t="shared" ref="I3:I23" si="0">H3+1</f>
        <v>44162</v>
      </c>
      <c r="J3" s="4">
        <v>44189</v>
      </c>
      <c r="K3" s="4">
        <f t="shared" ref="K3:K23" si="1">J3+1</f>
        <v>44190</v>
      </c>
      <c r="M3" s="2">
        <f t="shared" ref="M3:M23" si="2">WEEKDAY(E3,2)</f>
        <v>6</v>
      </c>
      <c r="N3" s="2" t="e">
        <f t="shared" ref="N3:N24" si="3">WEEKDAY(F3,2)</f>
        <v>#VALUE!</v>
      </c>
      <c r="O3" s="4" t="str">
        <f t="shared" ref="O3:O23" si="4">IF(M3=1,E3+1,IF(M3=2,E3-1,IF(M3=3,"N/A",IF(M3=4,E3+1,IF(M3=5,E3-1,IF(M3=6,"SATURDAY??","SUNDAY??"))))))</f>
        <v>SATURDAY??</v>
      </c>
      <c r="R3" s="4" t="s">
        <v>129</v>
      </c>
      <c r="T3" s="2">
        <f t="shared" ref="T3:T23" si="5">WEEKDAY(B3,2)</f>
        <v>3</v>
      </c>
      <c r="U3" s="2" t="str">
        <f t="shared" ref="U3:U23" si="6">IF(T3=6,"SATURDAY??",IF(T3=7,"SUNDAY??",B3))</f>
        <v>1/1/2020</v>
      </c>
      <c r="W3" s="4"/>
      <c r="AA3" s="9"/>
    </row>
    <row r="4" spans="1:27" x14ac:dyDescent="0.25">
      <c r="A4" s="2">
        <v>2021</v>
      </c>
      <c r="B4" s="4" t="s">
        <v>134</v>
      </c>
      <c r="C4" s="4">
        <v>44242</v>
      </c>
      <c r="D4" s="4">
        <v>44347</v>
      </c>
      <c r="E4" s="4">
        <v>44381</v>
      </c>
      <c r="F4" s="4" t="s">
        <v>130</v>
      </c>
      <c r="G4" s="4">
        <v>44445</v>
      </c>
      <c r="H4" s="4">
        <v>44525</v>
      </c>
      <c r="I4" s="4">
        <f t="shared" si="0"/>
        <v>44526</v>
      </c>
      <c r="J4" s="4">
        <v>44554</v>
      </c>
      <c r="K4" s="4">
        <f t="shared" si="1"/>
        <v>44555</v>
      </c>
      <c r="M4" s="2">
        <f t="shared" si="2"/>
        <v>7</v>
      </c>
      <c r="N4" s="2" t="e">
        <f t="shared" si="3"/>
        <v>#VALUE!</v>
      </c>
      <c r="O4" s="4" t="str">
        <f t="shared" si="4"/>
        <v>SUNDAY??</v>
      </c>
      <c r="R4" s="4" t="s">
        <v>130</v>
      </c>
      <c r="T4" s="2">
        <f t="shared" si="5"/>
        <v>5</v>
      </c>
      <c r="U4" s="2" t="str">
        <f t="shared" si="6"/>
        <v>1/1/2021</v>
      </c>
      <c r="W4" s="4"/>
      <c r="AA4" s="9"/>
    </row>
    <row r="5" spans="1:27" x14ac:dyDescent="0.25">
      <c r="A5" s="2">
        <v>2022</v>
      </c>
      <c r="B5" s="4" t="s">
        <v>129</v>
      </c>
      <c r="C5" s="4">
        <v>44613</v>
      </c>
      <c r="D5" s="4">
        <v>44711</v>
      </c>
      <c r="E5" s="4">
        <v>44746</v>
      </c>
      <c r="F5" s="4">
        <v>44747</v>
      </c>
      <c r="G5" s="4">
        <v>44809</v>
      </c>
      <c r="H5" s="4">
        <v>44889</v>
      </c>
      <c r="I5" s="4">
        <f t="shared" si="0"/>
        <v>44890</v>
      </c>
      <c r="J5" s="4">
        <v>44919</v>
      </c>
      <c r="K5" s="4">
        <f t="shared" si="1"/>
        <v>44920</v>
      </c>
      <c r="M5" s="2">
        <f t="shared" si="2"/>
        <v>1</v>
      </c>
      <c r="N5" s="2">
        <f t="shared" si="3"/>
        <v>2</v>
      </c>
      <c r="O5" s="4">
        <f t="shared" si="4"/>
        <v>44747</v>
      </c>
      <c r="R5" s="4">
        <v>44747</v>
      </c>
      <c r="T5" s="2" t="e">
        <f t="shared" si="5"/>
        <v>#VALUE!</v>
      </c>
      <c r="U5" s="2" t="e">
        <f t="shared" si="6"/>
        <v>#VALUE!</v>
      </c>
      <c r="W5" s="4"/>
      <c r="AA5" s="9"/>
    </row>
    <row r="6" spans="1:27" x14ac:dyDescent="0.25">
      <c r="A6" s="2">
        <v>2023</v>
      </c>
      <c r="B6" s="4" t="s">
        <v>130</v>
      </c>
      <c r="C6" s="4">
        <v>44977</v>
      </c>
      <c r="D6" s="4">
        <v>45075</v>
      </c>
      <c r="E6" s="4">
        <v>45111</v>
      </c>
      <c r="F6" s="4">
        <v>45110</v>
      </c>
      <c r="G6" s="4">
        <v>45173</v>
      </c>
      <c r="H6" s="4">
        <v>45253</v>
      </c>
      <c r="I6" s="4">
        <f t="shared" si="0"/>
        <v>45254</v>
      </c>
      <c r="J6" s="4">
        <v>45284</v>
      </c>
      <c r="K6" s="4">
        <f t="shared" si="1"/>
        <v>45285</v>
      </c>
      <c r="M6" s="2">
        <f t="shared" si="2"/>
        <v>2</v>
      </c>
      <c r="N6" s="2">
        <f t="shared" si="3"/>
        <v>1</v>
      </c>
      <c r="O6" s="4">
        <f t="shared" si="4"/>
        <v>45110</v>
      </c>
      <c r="R6" s="4">
        <v>45110</v>
      </c>
      <c r="T6" s="2" t="e">
        <f t="shared" si="5"/>
        <v>#VALUE!</v>
      </c>
      <c r="U6" s="2" t="e">
        <f t="shared" si="6"/>
        <v>#VALUE!</v>
      </c>
      <c r="W6" s="4"/>
      <c r="AA6" s="9"/>
    </row>
    <row r="7" spans="1:27" x14ac:dyDescent="0.25">
      <c r="A7" s="2">
        <v>2024</v>
      </c>
      <c r="B7" s="4" t="s">
        <v>135</v>
      </c>
      <c r="C7" s="4">
        <v>45341</v>
      </c>
      <c r="D7" s="4">
        <v>45439</v>
      </c>
      <c r="E7" s="4">
        <v>45477</v>
      </c>
      <c r="F7" s="4">
        <v>45478</v>
      </c>
      <c r="G7" s="4">
        <v>45537</v>
      </c>
      <c r="H7" s="4">
        <v>45624</v>
      </c>
      <c r="I7" s="4">
        <f t="shared" si="0"/>
        <v>45625</v>
      </c>
      <c r="J7" s="4">
        <v>45650</v>
      </c>
      <c r="K7" s="4">
        <f t="shared" si="1"/>
        <v>45651</v>
      </c>
      <c r="M7" s="2">
        <f t="shared" si="2"/>
        <v>4</v>
      </c>
      <c r="N7" s="2">
        <f t="shared" si="3"/>
        <v>5</v>
      </c>
      <c r="O7" s="4">
        <f t="shared" si="4"/>
        <v>45478</v>
      </c>
      <c r="R7" s="4">
        <v>45478</v>
      </c>
      <c r="T7" s="2">
        <f t="shared" si="5"/>
        <v>1</v>
      </c>
      <c r="U7" s="2" t="str">
        <f t="shared" si="6"/>
        <v>1/1/2024</v>
      </c>
      <c r="W7" s="4"/>
      <c r="AA7" s="9"/>
    </row>
    <row r="8" spans="1:27" x14ac:dyDescent="0.25">
      <c r="A8" s="2">
        <v>2025</v>
      </c>
      <c r="B8" s="4" t="s">
        <v>136</v>
      </c>
      <c r="C8" s="4">
        <v>45705</v>
      </c>
      <c r="D8" s="4">
        <v>45803</v>
      </c>
      <c r="E8" s="4">
        <v>45842</v>
      </c>
      <c r="F8" s="4">
        <v>45841</v>
      </c>
      <c r="G8" s="4">
        <v>45901</v>
      </c>
      <c r="H8" s="4">
        <v>45988</v>
      </c>
      <c r="I8" s="4">
        <f t="shared" si="0"/>
        <v>45989</v>
      </c>
      <c r="J8" s="4">
        <v>46015</v>
      </c>
      <c r="K8" s="4">
        <f t="shared" si="1"/>
        <v>46016</v>
      </c>
      <c r="M8" s="2">
        <f t="shared" si="2"/>
        <v>5</v>
      </c>
      <c r="N8" s="2">
        <f t="shared" si="3"/>
        <v>4</v>
      </c>
      <c r="O8" s="4">
        <f t="shared" si="4"/>
        <v>45841</v>
      </c>
      <c r="R8" s="4">
        <v>45841</v>
      </c>
      <c r="T8" s="2">
        <f t="shared" si="5"/>
        <v>3</v>
      </c>
      <c r="U8" s="2" t="str">
        <f t="shared" si="6"/>
        <v>1/1/2025</v>
      </c>
      <c r="W8" s="4"/>
      <c r="AA8" s="9"/>
    </row>
    <row r="9" spans="1:27" x14ac:dyDescent="0.25">
      <c r="A9" s="2">
        <v>2026</v>
      </c>
      <c r="B9" s="4" t="s">
        <v>137</v>
      </c>
      <c r="C9" s="4">
        <v>46069</v>
      </c>
      <c r="D9" s="4">
        <v>46167</v>
      </c>
      <c r="E9" s="4">
        <v>46207</v>
      </c>
      <c r="F9" s="4" t="s">
        <v>129</v>
      </c>
      <c r="G9" s="4">
        <v>46272</v>
      </c>
      <c r="H9" s="4">
        <v>46352</v>
      </c>
      <c r="I9" s="4">
        <f t="shared" si="0"/>
        <v>46353</v>
      </c>
      <c r="J9" s="4">
        <v>46380</v>
      </c>
      <c r="K9" s="4">
        <f t="shared" si="1"/>
        <v>46381</v>
      </c>
      <c r="M9" s="2">
        <f t="shared" si="2"/>
        <v>6</v>
      </c>
      <c r="N9" s="2" t="e">
        <f t="shared" si="3"/>
        <v>#VALUE!</v>
      </c>
      <c r="O9" s="4" t="str">
        <f t="shared" si="4"/>
        <v>SATURDAY??</v>
      </c>
      <c r="R9" s="4" t="s">
        <v>129</v>
      </c>
      <c r="T9" s="2">
        <f t="shared" si="5"/>
        <v>4</v>
      </c>
      <c r="U9" s="2" t="str">
        <f t="shared" si="6"/>
        <v>1/1/2026</v>
      </c>
      <c r="W9" s="4"/>
      <c r="AA9" s="9"/>
    </row>
    <row r="10" spans="1:27" x14ac:dyDescent="0.25">
      <c r="A10" s="2">
        <v>2027</v>
      </c>
      <c r="B10" s="4" t="s">
        <v>138</v>
      </c>
      <c r="C10" s="4">
        <v>46433</v>
      </c>
      <c r="D10" s="4">
        <v>46538</v>
      </c>
      <c r="E10" s="4">
        <v>46572</v>
      </c>
      <c r="F10" s="4" t="s">
        <v>130</v>
      </c>
      <c r="G10" s="4">
        <v>46636</v>
      </c>
      <c r="H10" s="4">
        <v>46716</v>
      </c>
      <c r="I10" s="4">
        <f t="shared" si="0"/>
        <v>46717</v>
      </c>
      <c r="J10" s="4">
        <v>46745</v>
      </c>
      <c r="K10" s="4">
        <f t="shared" si="1"/>
        <v>46746</v>
      </c>
      <c r="M10" s="2">
        <f t="shared" si="2"/>
        <v>7</v>
      </c>
      <c r="N10" s="2" t="e">
        <f t="shared" si="3"/>
        <v>#VALUE!</v>
      </c>
      <c r="O10" s="4" t="str">
        <f t="shared" si="4"/>
        <v>SUNDAY??</v>
      </c>
      <c r="R10" s="4" t="s">
        <v>130</v>
      </c>
      <c r="T10" s="2">
        <f t="shared" si="5"/>
        <v>5</v>
      </c>
      <c r="U10" s="2" t="str">
        <f t="shared" si="6"/>
        <v>1/1/2027</v>
      </c>
      <c r="W10" s="4"/>
      <c r="AA10" s="9"/>
    </row>
    <row r="11" spans="1:27" x14ac:dyDescent="0.25">
      <c r="A11" s="2">
        <v>2028</v>
      </c>
      <c r="B11" s="4" t="s">
        <v>129</v>
      </c>
      <c r="C11" s="4">
        <v>46804</v>
      </c>
      <c r="D11" s="4">
        <v>46902</v>
      </c>
      <c r="E11" s="4">
        <v>46938</v>
      </c>
      <c r="F11" s="4">
        <v>46937</v>
      </c>
      <c r="G11" s="4">
        <v>47000</v>
      </c>
      <c r="H11" s="4">
        <v>47080</v>
      </c>
      <c r="I11" s="4">
        <f t="shared" si="0"/>
        <v>47081</v>
      </c>
      <c r="J11" s="4">
        <v>47111</v>
      </c>
      <c r="K11" s="4">
        <f t="shared" si="1"/>
        <v>47112</v>
      </c>
      <c r="M11" s="2">
        <f t="shared" si="2"/>
        <v>2</v>
      </c>
      <c r="N11" s="2">
        <f t="shared" si="3"/>
        <v>1</v>
      </c>
      <c r="O11" s="4">
        <f t="shared" si="4"/>
        <v>46937</v>
      </c>
      <c r="R11" s="4">
        <v>46937</v>
      </c>
      <c r="T11" s="2" t="e">
        <f t="shared" si="5"/>
        <v>#VALUE!</v>
      </c>
      <c r="U11" s="2" t="e">
        <f t="shared" si="6"/>
        <v>#VALUE!</v>
      </c>
      <c r="W11" s="4"/>
      <c r="AA11" s="9"/>
    </row>
    <row r="12" spans="1:27" x14ac:dyDescent="0.25">
      <c r="A12" s="2">
        <v>2029</v>
      </c>
      <c r="B12" s="4" t="s">
        <v>139</v>
      </c>
      <c r="C12" s="4">
        <v>47168</v>
      </c>
      <c r="D12" s="4">
        <v>47266</v>
      </c>
      <c r="E12" s="4">
        <v>47303</v>
      </c>
      <c r="F12" s="4" t="s">
        <v>131</v>
      </c>
      <c r="G12" s="4">
        <v>47364</v>
      </c>
      <c r="H12" s="4">
        <v>47444</v>
      </c>
      <c r="I12" s="4">
        <f t="shared" si="0"/>
        <v>47445</v>
      </c>
      <c r="J12" s="4">
        <v>47476</v>
      </c>
      <c r="K12" s="4">
        <f t="shared" si="1"/>
        <v>47477</v>
      </c>
      <c r="M12" s="2">
        <f t="shared" si="2"/>
        <v>3</v>
      </c>
      <c r="N12" s="2" t="e">
        <f t="shared" si="3"/>
        <v>#VALUE!</v>
      </c>
      <c r="O12" s="4" t="str">
        <f t="shared" si="4"/>
        <v>N/A</v>
      </c>
      <c r="R12" s="4" t="s">
        <v>131</v>
      </c>
      <c r="T12" s="2">
        <f t="shared" si="5"/>
        <v>1</v>
      </c>
      <c r="U12" s="2" t="str">
        <f t="shared" si="6"/>
        <v>1/1/2029</v>
      </c>
      <c r="W12" s="4"/>
      <c r="AA12" s="9"/>
    </row>
    <row r="13" spans="1:27" x14ac:dyDescent="0.25">
      <c r="A13" s="2">
        <v>2030</v>
      </c>
      <c r="B13" s="4" t="s">
        <v>140</v>
      </c>
      <c r="C13" s="4">
        <v>47532</v>
      </c>
      <c r="D13" s="4">
        <v>47630</v>
      </c>
      <c r="E13" s="4">
        <v>47668</v>
      </c>
      <c r="F13" s="4">
        <v>47669</v>
      </c>
      <c r="G13" s="4">
        <v>47728</v>
      </c>
      <c r="H13" s="4">
        <v>47815</v>
      </c>
      <c r="I13" s="4">
        <f t="shared" si="0"/>
        <v>47816</v>
      </c>
      <c r="J13" s="4">
        <v>47841</v>
      </c>
      <c r="K13" s="4">
        <f t="shared" si="1"/>
        <v>47842</v>
      </c>
      <c r="M13" s="2">
        <f t="shared" si="2"/>
        <v>4</v>
      </c>
      <c r="N13" s="2">
        <f t="shared" si="3"/>
        <v>5</v>
      </c>
      <c r="O13" s="4">
        <f t="shared" si="4"/>
        <v>47669</v>
      </c>
      <c r="R13" s="4">
        <v>47669</v>
      </c>
      <c r="T13" s="2">
        <f t="shared" si="5"/>
        <v>2</v>
      </c>
      <c r="U13" s="2" t="str">
        <f t="shared" si="6"/>
        <v>1/1/2030</v>
      </c>
      <c r="W13" s="4"/>
      <c r="AA13" s="9"/>
    </row>
    <row r="14" spans="1:27" x14ac:dyDescent="0.25">
      <c r="A14" s="2">
        <v>2031</v>
      </c>
      <c r="B14" s="4" t="s">
        <v>141</v>
      </c>
      <c r="C14" s="4">
        <v>47896</v>
      </c>
      <c r="D14" s="4">
        <v>47994</v>
      </c>
      <c r="E14" s="4">
        <v>48033</v>
      </c>
      <c r="F14" s="4">
        <v>48032</v>
      </c>
      <c r="G14" s="4">
        <v>48092</v>
      </c>
      <c r="H14" s="4">
        <v>48179</v>
      </c>
      <c r="I14" s="4">
        <f t="shared" si="0"/>
        <v>48180</v>
      </c>
      <c r="J14" s="4">
        <v>48206</v>
      </c>
      <c r="K14" s="4">
        <f t="shared" si="1"/>
        <v>48207</v>
      </c>
      <c r="M14" s="2">
        <f t="shared" si="2"/>
        <v>5</v>
      </c>
      <c r="N14" s="2">
        <f t="shared" si="3"/>
        <v>4</v>
      </c>
      <c r="O14" s="4">
        <f t="shared" si="4"/>
        <v>48032</v>
      </c>
      <c r="R14" s="4">
        <v>48032</v>
      </c>
      <c r="T14" s="2">
        <f t="shared" si="5"/>
        <v>3</v>
      </c>
      <c r="U14" s="2" t="str">
        <f t="shared" si="6"/>
        <v>1/1/2031</v>
      </c>
      <c r="W14" s="4"/>
      <c r="AA14" s="9"/>
    </row>
    <row r="15" spans="1:27" x14ac:dyDescent="0.25">
      <c r="A15" s="2">
        <v>2032</v>
      </c>
      <c r="B15" s="4" t="s">
        <v>142</v>
      </c>
      <c r="C15" s="4">
        <v>48260</v>
      </c>
      <c r="D15" s="4">
        <v>48365</v>
      </c>
      <c r="E15" s="4">
        <v>48399</v>
      </c>
      <c r="F15" s="4" t="s">
        <v>130</v>
      </c>
      <c r="G15" s="4">
        <v>48463</v>
      </c>
      <c r="H15" s="4">
        <v>48543</v>
      </c>
      <c r="I15" s="4">
        <f t="shared" si="0"/>
        <v>48544</v>
      </c>
      <c r="J15" s="4">
        <v>48572</v>
      </c>
      <c r="K15" s="4">
        <f t="shared" si="1"/>
        <v>48573</v>
      </c>
      <c r="M15" s="2">
        <f t="shared" si="2"/>
        <v>7</v>
      </c>
      <c r="N15" s="2" t="e">
        <f t="shared" si="3"/>
        <v>#VALUE!</v>
      </c>
      <c r="O15" s="4" t="str">
        <f t="shared" si="4"/>
        <v>SUNDAY??</v>
      </c>
      <c r="R15" s="4" t="s">
        <v>130</v>
      </c>
      <c r="T15" s="2">
        <f t="shared" si="5"/>
        <v>4</v>
      </c>
      <c r="U15" s="2" t="str">
        <f t="shared" si="6"/>
        <v>1/1/2032</v>
      </c>
      <c r="W15" s="4"/>
      <c r="AA15" s="9"/>
    </row>
    <row r="16" spans="1:27" x14ac:dyDescent="0.25">
      <c r="A16" s="2">
        <v>2033</v>
      </c>
      <c r="B16" s="4" t="s">
        <v>129</v>
      </c>
      <c r="C16" s="4">
        <v>48631</v>
      </c>
      <c r="D16" s="4">
        <v>48729</v>
      </c>
      <c r="E16" s="4">
        <v>48764</v>
      </c>
      <c r="F16" s="4">
        <v>48765</v>
      </c>
      <c r="G16" s="4">
        <v>48827</v>
      </c>
      <c r="H16" s="4">
        <v>48907</v>
      </c>
      <c r="I16" s="4">
        <f t="shared" si="0"/>
        <v>48908</v>
      </c>
      <c r="J16" s="4">
        <v>48937</v>
      </c>
      <c r="K16" s="4">
        <f t="shared" si="1"/>
        <v>48938</v>
      </c>
      <c r="M16" s="2">
        <f t="shared" si="2"/>
        <v>1</v>
      </c>
      <c r="N16" s="2">
        <f t="shared" si="3"/>
        <v>2</v>
      </c>
      <c r="O16" s="4">
        <f t="shared" si="4"/>
        <v>48765</v>
      </c>
      <c r="R16" s="4">
        <v>48765</v>
      </c>
      <c r="T16" s="2" t="e">
        <f t="shared" si="5"/>
        <v>#VALUE!</v>
      </c>
      <c r="U16" s="2" t="e">
        <f t="shared" si="6"/>
        <v>#VALUE!</v>
      </c>
      <c r="W16" s="4"/>
      <c r="AA16" s="9"/>
    </row>
    <row r="17" spans="1:27" x14ac:dyDescent="0.25">
      <c r="A17" s="2">
        <v>2034</v>
      </c>
      <c r="B17" s="4" t="s">
        <v>130</v>
      </c>
      <c r="C17" s="4">
        <v>48995</v>
      </c>
      <c r="D17" s="4">
        <v>49093</v>
      </c>
      <c r="E17" s="4">
        <v>49129</v>
      </c>
      <c r="F17" s="4">
        <v>49128</v>
      </c>
      <c r="G17" s="4">
        <v>49191</v>
      </c>
      <c r="H17" s="4">
        <v>49271</v>
      </c>
      <c r="I17" s="4">
        <f t="shared" si="0"/>
        <v>49272</v>
      </c>
      <c r="J17" s="4">
        <v>49302</v>
      </c>
      <c r="K17" s="4">
        <f t="shared" si="1"/>
        <v>49303</v>
      </c>
      <c r="M17" s="2">
        <f t="shared" si="2"/>
        <v>2</v>
      </c>
      <c r="N17" s="2">
        <f t="shared" si="3"/>
        <v>1</v>
      </c>
      <c r="O17" s="4">
        <f t="shared" si="4"/>
        <v>49128</v>
      </c>
      <c r="R17" s="4">
        <v>49128</v>
      </c>
      <c r="T17" s="2" t="e">
        <f t="shared" si="5"/>
        <v>#VALUE!</v>
      </c>
      <c r="U17" s="2" t="e">
        <f t="shared" si="6"/>
        <v>#VALUE!</v>
      </c>
      <c r="W17" s="4"/>
      <c r="AA17" s="9"/>
    </row>
    <row r="18" spans="1:27" x14ac:dyDescent="0.25">
      <c r="A18" s="2">
        <v>2035</v>
      </c>
      <c r="B18" s="4" t="s">
        <v>143</v>
      </c>
      <c r="C18" s="4">
        <v>49359</v>
      </c>
      <c r="D18" s="4">
        <v>49457</v>
      </c>
      <c r="E18" s="4">
        <v>49494</v>
      </c>
      <c r="F18" s="4" t="s">
        <v>131</v>
      </c>
      <c r="G18" s="4">
        <v>49555</v>
      </c>
      <c r="H18" s="4">
        <v>49635</v>
      </c>
      <c r="I18" s="4">
        <f t="shared" si="0"/>
        <v>49636</v>
      </c>
      <c r="J18" s="4">
        <v>49667</v>
      </c>
      <c r="K18" s="4">
        <f t="shared" si="1"/>
        <v>49668</v>
      </c>
      <c r="M18" s="2">
        <f t="shared" si="2"/>
        <v>3</v>
      </c>
      <c r="N18" s="2" t="e">
        <f t="shared" si="3"/>
        <v>#VALUE!</v>
      </c>
      <c r="O18" s="4" t="str">
        <f t="shared" si="4"/>
        <v>N/A</v>
      </c>
      <c r="R18" s="4" t="s">
        <v>131</v>
      </c>
      <c r="T18" s="2">
        <f t="shared" si="5"/>
        <v>1</v>
      </c>
      <c r="U18" s="2" t="str">
        <f t="shared" si="6"/>
        <v>1/1/2035</v>
      </c>
      <c r="W18" s="4"/>
      <c r="AA18" s="9"/>
    </row>
    <row r="19" spans="1:27" x14ac:dyDescent="0.25">
      <c r="A19" s="2">
        <v>2036</v>
      </c>
      <c r="B19" s="4" t="s">
        <v>144</v>
      </c>
      <c r="C19" s="4">
        <v>49723</v>
      </c>
      <c r="D19" s="4">
        <v>49821</v>
      </c>
      <c r="E19" s="4">
        <v>49860</v>
      </c>
      <c r="F19" s="4">
        <v>49859</v>
      </c>
      <c r="G19" s="4">
        <v>49919</v>
      </c>
      <c r="H19" s="4">
        <v>50006</v>
      </c>
      <c r="I19" s="4">
        <f t="shared" si="0"/>
        <v>50007</v>
      </c>
      <c r="J19" s="4">
        <v>50033</v>
      </c>
      <c r="K19" s="4">
        <f t="shared" si="1"/>
        <v>50034</v>
      </c>
      <c r="M19" s="2">
        <f t="shared" si="2"/>
        <v>5</v>
      </c>
      <c r="N19" s="2">
        <f t="shared" si="3"/>
        <v>4</v>
      </c>
      <c r="O19" s="4">
        <f t="shared" si="4"/>
        <v>49859</v>
      </c>
      <c r="R19" s="4">
        <v>49859</v>
      </c>
      <c r="T19" s="2">
        <f t="shared" si="5"/>
        <v>2</v>
      </c>
      <c r="U19" s="2" t="str">
        <f t="shared" si="6"/>
        <v>1/1/2036</v>
      </c>
      <c r="W19" s="4"/>
      <c r="AA19" s="9"/>
    </row>
    <row r="20" spans="1:27" x14ac:dyDescent="0.25">
      <c r="A20" s="2">
        <v>2037</v>
      </c>
      <c r="B20" s="4" t="s">
        <v>145</v>
      </c>
      <c r="C20" s="4">
        <v>50087</v>
      </c>
      <c r="D20" s="4">
        <v>50185</v>
      </c>
      <c r="E20" s="4">
        <v>50225</v>
      </c>
      <c r="F20" s="4" t="s">
        <v>129</v>
      </c>
      <c r="G20" s="4">
        <v>50290</v>
      </c>
      <c r="H20" s="4">
        <v>50370</v>
      </c>
      <c r="I20" s="4">
        <f t="shared" si="0"/>
        <v>50371</v>
      </c>
      <c r="J20" s="4">
        <v>50398</v>
      </c>
      <c r="K20" s="4">
        <f t="shared" si="1"/>
        <v>50399</v>
      </c>
      <c r="M20" s="2">
        <f t="shared" si="2"/>
        <v>6</v>
      </c>
      <c r="N20" s="2" t="e">
        <f t="shared" si="3"/>
        <v>#VALUE!</v>
      </c>
      <c r="O20" s="4" t="str">
        <f t="shared" si="4"/>
        <v>SATURDAY??</v>
      </c>
      <c r="R20" s="4" t="s">
        <v>129</v>
      </c>
      <c r="T20" s="2">
        <f t="shared" si="5"/>
        <v>4</v>
      </c>
      <c r="U20" s="2" t="str">
        <f t="shared" si="6"/>
        <v>1/1/2037</v>
      </c>
      <c r="W20" s="4"/>
      <c r="AA20" s="9"/>
    </row>
    <row r="21" spans="1:27" x14ac:dyDescent="0.25">
      <c r="A21" s="2">
        <v>2038</v>
      </c>
      <c r="B21" s="4" t="s">
        <v>146</v>
      </c>
      <c r="C21" s="4">
        <v>50451</v>
      </c>
      <c r="D21" s="4">
        <v>50556</v>
      </c>
      <c r="E21" s="4">
        <v>50590</v>
      </c>
      <c r="F21" s="4" t="s">
        <v>130</v>
      </c>
      <c r="G21" s="4">
        <v>50654</v>
      </c>
      <c r="H21" s="4">
        <v>50734</v>
      </c>
      <c r="I21" s="4">
        <f t="shared" si="0"/>
        <v>50735</v>
      </c>
      <c r="J21" s="4">
        <v>50763</v>
      </c>
      <c r="K21" s="4">
        <f t="shared" si="1"/>
        <v>50764</v>
      </c>
      <c r="M21" s="2">
        <f t="shared" si="2"/>
        <v>7</v>
      </c>
      <c r="N21" s="2" t="e">
        <f t="shared" si="3"/>
        <v>#VALUE!</v>
      </c>
      <c r="O21" s="4" t="str">
        <f t="shared" si="4"/>
        <v>SUNDAY??</v>
      </c>
      <c r="R21" s="4" t="s">
        <v>130</v>
      </c>
      <c r="T21" s="2">
        <f t="shared" si="5"/>
        <v>5</v>
      </c>
      <c r="U21" s="2" t="str">
        <f t="shared" si="6"/>
        <v>1/1/2038</v>
      </c>
      <c r="W21" s="4"/>
      <c r="AA21" s="9"/>
    </row>
    <row r="22" spans="1:27" x14ac:dyDescent="0.25">
      <c r="A22" s="2">
        <v>2039</v>
      </c>
      <c r="B22" s="4" t="s">
        <v>129</v>
      </c>
      <c r="C22" s="4">
        <v>50822</v>
      </c>
      <c r="D22" s="4">
        <v>50920</v>
      </c>
      <c r="E22" s="4">
        <v>50955</v>
      </c>
      <c r="F22" s="4">
        <v>50956</v>
      </c>
      <c r="G22" s="4">
        <v>51018</v>
      </c>
      <c r="H22" s="4">
        <v>51098</v>
      </c>
      <c r="I22" s="4">
        <f t="shared" si="0"/>
        <v>51099</v>
      </c>
      <c r="J22" s="4">
        <v>51128</v>
      </c>
      <c r="K22" s="4">
        <f t="shared" si="1"/>
        <v>51129</v>
      </c>
      <c r="M22" s="2">
        <f t="shared" si="2"/>
        <v>1</v>
      </c>
      <c r="N22" s="2">
        <f t="shared" si="3"/>
        <v>2</v>
      </c>
      <c r="O22" s="4">
        <f t="shared" si="4"/>
        <v>50956</v>
      </c>
      <c r="R22" s="4">
        <v>50956</v>
      </c>
      <c r="T22" s="2" t="e">
        <f t="shared" si="5"/>
        <v>#VALUE!</v>
      </c>
      <c r="U22" s="2" t="e">
        <f t="shared" si="6"/>
        <v>#VALUE!</v>
      </c>
      <c r="W22" s="4"/>
      <c r="AA22" s="9"/>
    </row>
    <row r="23" spans="1:27" x14ac:dyDescent="0.25">
      <c r="A23" s="2">
        <v>2040</v>
      </c>
      <c r="B23" s="4" t="s">
        <v>130</v>
      </c>
      <c r="C23" s="4">
        <v>51186</v>
      </c>
      <c r="D23" s="4">
        <v>51284</v>
      </c>
      <c r="E23" s="4">
        <v>51321</v>
      </c>
      <c r="F23" s="4" t="s">
        <v>131</v>
      </c>
      <c r="G23" s="4">
        <v>51382</v>
      </c>
      <c r="H23" s="4">
        <v>51462</v>
      </c>
      <c r="I23" s="4">
        <f t="shared" si="0"/>
        <v>51463</v>
      </c>
      <c r="J23" s="4">
        <v>51494</v>
      </c>
      <c r="K23" s="4">
        <f t="shared" si="1"/>
        <v>51495</v>
      </c>
      <c r="M23" s="2">
        <f t="shared" si="2"/>
        <v>3</v>
      </c>
      <c r="N23" s="2" t="e">
        <f t="shared" si="3"/>
        <v>#VALUE!</v>
      </c>
      <c r="O23" s="4" t="str">
        <f t="shared" si="4"/>
        <v>N/A</v>
      </c>
      <c r="R23" s="4" t="s">
        <v>131</v>
      </c>
      <c r="T23" s="2" t="e">
        <f t="shared" si="5"/>
        <v>#VALUE!</v>
      </c>
      <c r="U23" s="2" t="e">
        <f t="shared" si="6"/>
        <v>#VALUE!</v>
      </c>
      <c r="W23" s="4"/>
      <c r="AA23" s="9"/>
    </row>
    <row r="24" spans="1:27" x14ac:dyDescent="0.25">
      <c r="N24" s="2">
        <f t="shared" si="3"/>
        <v>6</v>
      </c>
    </row>
    <row r="25" spans="1:27" x14ac:dyDescent="0.25">
      <c r="Y25" s="4"/>
    </row>
    <row r="26" spans="1:27" x14ac:dyDescent="0.25">
      <c r="Y26" s="4"/>
    </row>
    <row r="27" spans="1:27" x14ac:dyDescent="0.25">
      <c r="Y27" s="4"/>
    </row>
    <row r="28" spans="1:27" x14ac:dyDescent="0.25">
      <c r="Y28" s="4"/>
    </row>
    <row r="29" spans="1:27" x14ac:dyDescent="0.25">
      <c r="Y29" s="4"/>
    </row>
    <row r="30" spans="1:27" x14ac:dyDescent="0.25">
      <c r="N30" s="4">
        <v>43612</v>
      </c>
      <c r="Y30" s="4"/>
    </row>
    <row r="31" spans="1:27" x14ac:dyDescent="0.25">
      <c r="N31" s="2">
        <v>1</v>
      </c>
      <c r="Y31" s="4"/>
    </row>
    <row r="32" spans="1:27" x14ac:dyDescent="0.25">
      <c r="N32" s="2">
        <v>1</v>
      </c>
      <c r="Y32" s="4"/>
    </row>
    <row r="33" spans="19:25" x14ac:dyDescent="0.25">
      <c r="Y33" s="4"/>
    </row>
    <row r="34" spans="19:25" x14ac:dyDescent="0.25">
      <c r="Y34" s="4"/>
    </row>
    <row r="35" spans="19:25" x14ac:dyDescent="0.25">
      <c r="Y35" s="4"/>
    </row>
    <row r="36" spans="19:25" x14ac:dyDescent="0.25">
      <c r="Y36" s="4"/>
    </row>
    <row r="37" spans="19:25" x14ac:dyDescent="0.25">
      <c r="Y37" s="4"/>
    </row>
    <row r="38" spans="19:25" x14ac:dyDescent="0.25">
      <c r="Y38" s="4"/>
    </row>
    <row r="39" spans="19:25" x14ac:dyDescent="0.25">
      <c r="Y39" s="4"/>
    </row>
    <row r="40" spans="19:25" x14ac:dyDescent="0.25">
      <c r="Y40" s="4"/>
    </row>
    <row r="41" spans="19:25" x14ac:dyDescent="0.25">
      <c r="Y41" s="4"/>
    </row>
    <row r="42" spans="19:25" x14ac:dyDescent="0.25">
      <c r="Y42" s="4"/>
    </row>
    <row r="43" spans="19:25" x14ac:dyDescent="0.25">
      <c r="Y43" s="4"/>
    </row>
    <row r="44" spans="19:25" x14ac:dyDescent="0.25">
      <c r="Y44" s="4"/>
    </row>
    <row r="45" spans="19:25" x14ac:dyDescent="0.25">
      <c r="Y45" s="4"/>
    </row>
    <row r="46" spans="19:25" x14ac:dyDescent="0.25">
      <c r="Y46" s="4"/>
    </row>
    <row r="48" spans="19:25" x14ac:dyDescent="0.25">
      <c r="S48" s="9"/>
    </row>
    <row r="49" spans="19:19" x14ac:dyDescent="0.25">
      <c r="S49" s="9"/>
    </row>
    <row r="50" spans="19:19" x14ac:dyDescent="0.25">
      <c r="S50" s="9"/>
    </row>
    <row r="51" spans="19:19" x14ac:dyDescent="0.25">
      <c r="S51" s="9"/>
    </row>
    <row r="52" spans="19:19" x14ac:dyDescent="0.25">
      <c r="S52" s="9"/>
    </row>
    <row r="53" spans="19:19" x14ac:dyDescent="0.25">
      <c r="S53" s="9"/>
    </row>
    <row r="54" spans="19:19" x14ac:dyDescent="0.25">
      <c r="S54" s="9"/>
    </row>
    <row r="55" spans="19:19" x14ac:dyDescent="0.25">
      <c r="S55" s="9"/>
    </row>
    <row r="56" spans="19:19" x14ac:dyDescent="0.25">
      <c r="S56" s="9"/>
    </row>
    <row r="57" spans="19:19" x14ac:dyDescent="0.25">
      <c r="S57" s="9"/>
    </row>
    <row r="58" spans="19:19" x14ac:dyDescent="0.25">
      <c r="S58" s="9"/>
    </row>
    <row r="59" spans="19:19" x14ac:dyDescent="0.25">
      <c r="S59" s="9"/>
    </row>
    <row r="60" spans="19:19" x14ac:dyDescent="0.25">
      <c r="S60" s="9"/>
    </row>
    <row r="61" spans="19:19" x14ac:dyDescent="0.25">
      <c r="S61" s="9"/>
    </row>
    <row r="62" spans="19:19" x14ac:dyDescent="0.25">
      <c r="S62" s="9"/>
    </row>
    <row r="63" spans="19:19" x14ac:dyDescent="0.25">
      <c r="S63" s="9"/>
    </row>
    <row r="64" spans="19:19" x14ac:dyDescent="0.25">
      <c r="S64" s="9"/>
    </row>
    <row r="65" spans="19:19" x14ac:dyDescent="0.25">
      <c r="S65" s="9"/>
    </row>
    <row r="66" spans="19:19" x14ac:dyDescent="0.25">
      <c r="S66" s="9"/>
    </row>
    <row r="67" spans="19:19" x14ac:dyDescent="0.25">
      <c r="S67" s="9"/>
    </row>
    <row r="68" spans="19:19" x14ac:dyDescent="0.25">
      <c r="S68" s="9"/>
    </row>
    <row r="69" spans="19:19" x14ac:dyDescent="0.25">
      <c r="S69" s="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Oven Test</vt:lpstr>
      <vt:lpstr>Ovens</vt:lpstr>
      <vt:lpstr>Queue</vt:lpstr>
      <vt:lpstr>Original Queue</vt:lpstr>
      <vt:lpstr>Original Queue_test</vt:lpstr>
      <vt:lpstr>Organized Queue</vt:lpstr>
      <vt:lpstr>CS test</vt:lpstr>
      <vt:lpstr>Calculated Schedule</vt:lpstr>
      <vt:lpstr>Schedule</vt:lpstr>
      <vt:lpstr>Holidays</vt:lpstr>
    </vt:vector>
  </TitlesOfParts>
  <Company>DuPont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Brunner, Charles R</dc:creator>
  <cp:lastModifiedBy>Brunner, Charles R</cp:lastModifiedBy>
  <cp:lastPrinted>2019-04-26T15:12:10Z</cp:lastPrinted>
  <dcterms:created xsi:type="dcterms:W3CDTF">2019-04-17T17:05:49Z</dcterms:created>
  <dcterms:modified xsi:type="dcterms:W3CDTF">2019-05-30T13:57:50Z</dcterms:modified>
</cp:coreProperties>
</file>